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AM Identity Inventory" sheetId="1" state="visible" r:id="rId1"/>
    <sheet xmlns:r="http://schemas.openxmlformats.org/officeDocument/2006/relationships" name="Risk Dashboard" sheetId="2" state="visible" r:id="rId2"/>
    <sheet xmlns:r="http://schemas.openxmlformats.org/officeDocument/2006/relationships" name="Dept Access Matrix" sheetId="3" state="visible" r:id="rId3"/>
    <sheet xmlns:r="http://schemas.openxmlformats.org/officeDocument/2006/relationships" name="Risk_Assessment" sheetId="4" state="visible" r:id="rId4"/>
  </sheets>
  <definedNames/>
  <calcPr calcId="124519" fullCalcOnLoad="1"/>
</workbook>
</file>

<file path=xl/styles.xml><?xml version="1.0" encoding="utf-8"?>
<styleSheet xmlns="http://schemas.openxmlformats.org/spreadsheetml/2006/main">
  <numFmts count="0"/>
  <fonts count="31">
    <font>
      <name val="Calibri"/>
      <family val="2"/>
      <color theme="1"/>
      <sz val="11"/>
      <scheme val="minor"/>
    </font>
    <font>
      <name val="Arial"/>
      <b val="1"/>
      <color rgb="00FFFFFF"/>
      <sz val="11"/>
    </font>
    <font>
      <name val="Arial"/>
      <b val="1"/>
      <color rgb="00FFFFFF"/>
      <sz val="10"/>
    </font>
    <font>
      <name val="Arial"/>
      <sz val="9"/>
    </font>
    <font>
      <name val="Arial"/>
      <b val="1"/>
      <color rgb="002E5FA3"/>
      <sz val="9"/>
    </font>
    <font>
      <name val="Arial"/>
      <b val="1"/>
      <color rgb="001A7A4A"/>
      <sz val="9"/>
    </font>
    <font>
      <name val="Arial"/>
      <color rgb="001A7A4A"/>
      <sz val="9"/>
    </font>
    <font>
      <name val="Arial"/>
      <b val="1"/>
      <color rgb="00B7770D"/>
      <sz val="9"/>
    </font>
    <font>
      <name val="Arial"/>
      <b val="1"/>
      <color rgb="00C0392B"/>
      <sz val="9"/>
    </font>
    <font>
      <name val="Arial"/>
      <b val="1"/>
      <color rgb="005B2D8E"/>
      <sz val="9"/>
    </font>
    <font>
      <name val="Arial"/>
      <color rgb="009BA3B8"/>
      <sz val="9"/>
    </font>
    <font>
      <name val="Arial"/>
      <b val="1"/>
      <color rgb="00922B21"/>
      <sz val="9"/>
    </font>
    <font>
      <name val="Arial"/>
      <color rgb="00B7770D"/>
      <sz val="9"/>
    </font>
    <font>
      <name val="Arial"/>
      <b val="1"/>
      <sz val="9"/>
    </font>
    <font>
      <name val="Arial"/>
      <b val="1"/>
      <color rgb="00FFFFFF"/>
      <sz val="12"/>
    </font>
    <font>
      <name val="Arial"/>
      <b val="1"/>
      <color rgb="001B3A6B"/>
      <sz val="9"/>
    </font>
    <font>
      <name val="Arial"/>
      <color rgb="002E5FA3"/>
      <sz val="9"/>
    </font>
    <font>
      <name val="Arial"/>
      <color rgb="00AAAAAA"/>
      <sz val="9"/>
    </font>
    <font>
      <name val="Arial"/>
      <color rgb="005B2D8E"/>
      <sz val="9"/>
    </font>
    <font>
      <name val="Arial"/>
      <b val="1"/>
      <color rgb="00FFFFFF"/>
      <sz val="9"/>
    </font>
    <font>
      <name val="Arial"/>
      <b val="1"/>
      <color rgb="00AAAAAA"/>
      <sz val="9"/>
    </font>
    <font>
      <name val="Arial"/>
      <i val="1"/>
      <color rgb="00FFFFFF"/>
      <sz val="9"/>
    </font>
    <font>
      <name val="Arial"/>
      <color rgb="001A1A2E"/>
      <sz val="9"/>
    </font>
    <font>
      <name val="Arial"/>
      <b val="1"/>
      <color rgb="00922B21"/>
      <sz val="10"/>
    </font>
    <font>
      <name val="Arial"/>
      <b val="1"/>
      <color rgb="00922B21"/>
      <sz val="14"/>
    </font>
    <font>
      <name val="Arial"/>
      <b val="1"/>
      <color rgb="007D5A0B"/>
      <sz val="9"/>
    </font>
    <font>
      <name val="Arial"/>
      <b val="1"/>
      <color rgb="005B2D8E"/>
      <sz val="10"/>
    </font>
    <font>
      <name val="Arial"/>
      <b val="1"/>
      <color rgb="007D5A0B"/>
      <sz val="10"/>
    </font>
    <font>
      <name val="Arial"/>
      <b val="1"/>
      <color rgb="007D5A0B"/>
      <sz val="14"/>
    </font>
    <font>
      <name val="Arial"/>
      <b val="1"/>
      <color rgb="00155E38"/>
      <sz val="9"/>
    </font>
    <font>
      <name val="Arial"/>
      <b val="1"/>
      <color rgb="002E5FA3"/>
      <sz val="14"/>
    </font>
  </fonts>
  <fills count="17">
    <fill>
      <patternFill/>
    </fill>
    <fill>
      <patternFill patternType="gray125"/>
    </fill>
    <fill>
      <patternFill patternType="solid">
        <fgColor rgb="001B3A6B"/>
      </patternFill>
    </fill>
    <fill>
      <patternFill patternType="solid">
        <fgColor rgb="00D6E4F7"/>
      </patternFill>
    </fill>
    <fill>
      <patternFill patternType="solid">
        <fgColor rgb="00FFFFFF"/>
      </patternFill>
    </fill>
    <fill>
      <patternFill patternType="solid">
        <fgColor rgb="00E8F5EE"/>
      </patternFill>
    </fill>
    <fill>
      <patternFill patternType="solid">
        <fgColor rgb="00FEF3DC"/>
      </patternFill>
    </fill>
    <fill>
      <patternFill patternType="solid">
        <fgColor rgb="00EEF2FA"/>
      </patternFill>
    </fill>
    <fill>
      <patternFill patternType="solid">
        <fgColor rgb="00FDECEA"/>
      </patternFill>
    </fill>
    <fill>
      <patternFill patternType="solid">
        <fgColor rgb="00FFF8E1"/>
      </patternFill>
    </fill>
    <fill>
      <patternFill patternType="solid">
        <fgColor rgb="00F0EBF8"/>
      </patternFill>
    </fill>
    <fill>
      <patternFill patternType="solid">
        <fgColor rgb="00F4F6FB"/>
      </patternFill>
    </fill>
    <fill>
      <patternFill patternType="solid">
        <fgColor rgb="002E5FA3"/>
      </patternFill>
    </fill>
    <fill>
      <patternFill patternType="solid">
        <fgColor rgb="00EEF4FF"/>
      </patternFill>
    </fill>
    <fill>
      <patternFill patternType="solid">
        <fgColor rgb="00F4F4F4"/>
      </patternFill>
    </fill>
    <fill>
      <patternFill patternType="solid">
        <fgColor rgb="00F8F9FD"/>
      </patternFill>
    </fill>
    <fill>
      <patternFill patternType="solid">
        <fgColor rgb="00E8EBF2"/>
      </patternFill>
    </fill>
  </fills>
  <borders count="4">
    <border>
      <left/>
      <right/>
      <top/>
      <bottom/>
      <diagonal/>
    </border>
    <border>
      <left style="thin">
        <color rgb="001B3A6B"/>
      </left>
      <right style="thin">
        <color rgb="001B3A6B"/>
      </right>
      <top style="thin">
        <color rgb="001B3A6B"/>
      </top>
      <bottom style="thin">
        <color rgb="001B3A6B"/>
      </bottom>
    </border>
    <border>
      <left style="thin">
        <color rgb="00D0D5E8"/>
      </left>
      <right style="thin">
        <color rgb="00D0D5E8"/>
      </right>
      <top style="thin">
        <color rgb="00D0D5E8"/>
      </top>
      <bottom style="thin">
        <color rgb="00D0D5E8"/>
      </bottom>
    </border>
    <border>
      <left style="thin">
        <color rgb="002E5FA3"/>
      </left>
      <right style="thin">
        <color rgb="002E5FA3"/>
      </right>
      <top style="thin">
        <color rgb="002E5FA3"/>
      </top>
      <bottom style="thin">
        <color rgb="002E5FA3"/>
      </bottom>
    </border>
  </borders>
  <cellStyleXfs count="1">
    <xf numFmtId="0" fontId="0" fillId="0" borderId="0"/>
  </cellStyleXfs>
  <cellXfs count="69">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4" fillId="3" borderId="2" applyAlignment="1" pivotButton="0" quotePrefix="0" xfId="0">
      <alignment horizontal="center" vertical="top"/>
    </xf>
    <xf numFmtId="0" fontId="3" fillId="4" borderId="2" applyAlignment="1" pivotButton="0" quotePrefix="0" xfId="0">
      <alignment vertical="top"/>
    </xf>
    <xf numFmtId="0" fontId="5" fillId="5" borderId="2" applyAlignment="1" pivotButton="0" quotePrefix="0" xfId="0">
      <alignment horizontal="center" vertical="top"/>
    </xf>
    <xf numFmtId="0" fontId="6" fillId="5" borderId="2" applyAlignment="1" pivotButton="0" quotePrefix="0" xfId="0">
      <alignment horizontal="center" vertical="top"/>
    </xf>
    <xf numFmtId="0" fontId="7" fillId="6" borderId="2" applyAlignment="1" pivotButton="0" quotePrefix="0" xfId="0">
      <alignment horizontal="center" vertical="top"/>
    </xf>
    <xf numFmtId="0" fontId="3" fillId="4" borderId="2" applyAlignment="1" pivotButton="0" quotePrefix="0" xfId="0">
      <alignment vertical="top" wrapText="1"/>
    </xf>
    <xf numFmtId="0" fontId="3" fillId="7" borderId="2" applyAlignment="1" pivotButton="0" quotePrefix="0" xfId="0">
      <alignment vertical="top"/>
    </xf>
    <xf numFmtId="0" fontId="3" fillId="7" borderId="2" applyAlignment="1" pivotButton="0" quotePrefix="0" xfId="0">
      <alignment vertical="top" wrapText="1"/>
    </xf>
    <xf numFmtId="0" fontId="8" fillId="8" borderId="2" applyAlignment="1" pivotButton="0" quotePrefix="0" xfId="0">
      <alignment horizontal="center" vertical="top"/>
    </xf>
    <xf numFmtId="0" fontId="7" fillId="9" borderId="2" applyAlignment="1" pivotButton="0" quotePrefix="0" xfId="0">
      <alignment horizontal="center" vertical="top"/>
    </xf>
    <xf numFmtId="0" fontId="9" fillId="10" borderId="2" applyAlignment="1" pivotButton="0" quotePrefix="0" xfId="0">
      <alignment horizontal="center" vertical="top"/>
    </xf>
    <xf numFmtId="0" fontId="10" fillId="11" borderId="2" applyAlignment="1" pivotButton="0" quotePrefix="0" xfId="0">
      <alignment horizontal="center" vertical="top"/>
    </xf>
    <xf numFmtId="0" fontId="11" fillId="8" borderId="2" applyAlignment="1" pivotButton="0" quotePrefix="0" xfId="0">
      <alignment horizontal="center" vertical="top"/>
    </xf>
    <xf numFmtId="0" fontId="12" fillId="6" borderId="2" applyAlignment="1" pivotButton="0" quotePrefix="0" xfId="0">
      <alignment horizontal="center" vertical="top"/>
    </xf>
    <xf numFmtId="0" fontId="2" fillId="2" borderId="0" applyAlignment="1" pivotButton="0" quotePrefix="0" xfId="0">
      <alignment horizontal="center"/>
    </xf>
    <xf numFmtId="0" fontId="13" fillId="7" borderId="2" pivotButton="0" quotePrefix="0" xfId="0"/>
    <xf numFmtId="0" fontId="3" fillId="4" borderId="2" applyAlignment="1" pivotButton="0" quotePrefix="0" xfId="0">
      <alignment horizontal="center"/>
    </xf>
    <xf numFmtId="0" fontId="14" fillId="2" borderId="0" applyAlignment="1" pivotButton="0" quotePrefix="0" xfId="0">
      <alignment horizontal="center" vertical="center"/>
    </xf>
    <xf numFmtId="0" fontId="2" fillId="12" borderId="3" applyAlignment="1" pivotButton="0" quotePrefix="0" xfId="0">
      <alignment horizontal="center" vertical="center" wrapText="1"/>
    </xf>
    <xf numFmtId="0" fontId="15" fillId="4" borderId="2" applyAlignment="1" pivotButton="0" quotePrefix="0" xfId="0">
      <alignment vertical="top" wrapText="1"/>
    </xf>
    <xf numFmtId="0" fontId="4" fillId="4" borderId="2" applyAlignment="1" pivotButton="0" quotePrefix="0" xfId="0">
      <alignment horizontal="center" vertical="top"/>
    </xf>
    <xf numFmtId="0" fontId="15" fillId="7" borderId="2" applyAlignment="1" pivotButton="0" quotePrefix="0" xfId="0">
      <alignment vertical="top" wrapText="1"/>
    </xf>
    <xf numFmtId="0" fontId="4" fillId="7" borderId="2" applyAlignment="1" pivotButton="0" quotePrefix="0" xfId="0">
      <alignment horizontal="center" vertical="top"/>
    </xf>
    <xf numFmtId="0" fontId="4" fillId="13" borderId="2" applyAlignment="1" pivotButton="0" quotePrefix="0" xfId="0">
      <alignment horizontal="center" vertical="top"/>
    </xf>
    <xf numFmtId="0" fontId="2" fillId="12" borderId="3" applyAlignment="1" pivotButton="0" quotePrefix="0" xfId="0">
      <alignment horizontal="center" vertical="center"/>
    </xf>
    <xf numFmtId="0" fontId="15" fillId="4" borderId="2" applyAlignment="1" pivotButton="0" quotePrefix="0" xfId="0">
      <alignment horizontal="left" vertical="center" indent="1"/>
    </xf>
    <xf numFmtId="0" fontId="12" fillId="6" borderId="2" applyAlignment="1" pivotButton="0" quotePrefix="0" xfId="0">
      <alignment horizontal="center" vertical="center"/>
    </xf>
    <xf numFmtId="0" fontId="16" fillId="3" borderId="2" applyAlignment="1" pivotButton="0" quotePrefix="0" xfId="0">
      <alignment horizontal="center" vertical="center"/>
    </xf>
    <xf numFmtId="0" fontId="8" fillId="8" borderId="2" applyAlignment="1" pivotButton="0" quotePrefix="0" xfId="0">
      <alignment horizontal="center" vertical="center"/>
    </xf>
    <xf numFmtId="0" fontId="15" fillId="7" borderId="2" applyAlignment="1" pivotButton="0" quotePrefix="0" xfId="0">
      <alignment horizontal="left" vertical="center" indent="1"/>
    </xf>
    <xf numFmtId="0" fontId="17" fillId="14" borderId="2" applyAlignment="1" pivotButton="0" quotePrefix="0" xfId="0">
      <alignment horizontal="center" vertical="center"/>
    </xf>
    <xf numFmtId="0" fontId="18" fillId="10" borderId="2" applyAlignment="1" pivotButton="0" quotePrefix="0" xfId="0">
      <alignment horizontal="center" vertical="center"/>
    </xf>
    <xf numFmtId="0" fontId="19" fillId="2" borderId="0" applyAlignment="1" pivotButton="0" quotePrefix="0" xfId="0">
      <alignment horizontal="center"/>
    </xf>
    <xf numFmtId="0" fontId="8" fillId="8" borderId="2" applyAlignment="1" pivotButton="0" quotePrefix="0" xfId="0">
      <alignment horizontal="center"/>
    </xf>
    <xf numFmtId="0" fontId="3" fillId="15" borderId="2" pivotButton="0" quotePrefix="0" xfId="0"/>
    <xf numFmtId="0" fontId="7" fillId="6" borderId="2" applyAlignment="1" pivotButton="0" quotePrefix="0" xfId="0">
      <alignment horizontal="center"/>
    </xf>
    <xf numFmtId="0" fontId="4" fillId="3" borderId="2" applyAlignment="1" pivotButton="0" quotePrefix="0" xfId="0">
      <alignment horizontal="center"/>
    </xf>
    <xf numFmtId="0" fontId="9" fillId="10" borderId="2" applyAlignment="1" pivotButton="0" quotePrefix="0" xfId="0">
      <alignment horizontal="center"/>
    </xf>
    <xf numFmtId="0" fontId="20" fillId="14" borderId="2" applyAlignment="1" pivotButton="0" quotePrefix="0" xfId="0">
      <alignment horizontal="center"/>
    </xf>
    <xf numFmtId="0" fontId="21" fillId="12" borderId="0" applyAlignment="1" pivotButton="0" quotePrefix="0" xfId="0">
      <alignment horizontal="center" vertical="center"/>
    </xf>
    <xf numFmtId="0" fontId="19" fillId="2" borderId="1" applyAlignment="1" pivotButton="0" quotePrefix="0" xfId="0">
      <alignment horizontal="center" vertical="center" wrapText="1"/>
    </xf>
    <xf numFmtId="0" fontId="4" fillId="3" borderId="2" applyAlignment="1" pivotButton="0" quotePrefix="0" xfId="0">
      <alignment horizontal="center" vertical="top" wrapText="1"/>
    </xf>
    <xf numFmtId="0" fontId="15" fillId="7" borderId="2" applyAlignment="1" pivotButton="0" quotePrefix="0" xfId="0">
      <alignment horizontal="left" vertical="top" wrapText="1"/>
    </xf>
    <xf numFmtId="0" fontId="22" fillId="7" borderId="2" applyAlignment="1" pivotButton="0" quotePrefix="0" xfId="0">
      <alignment horizontal="left" vertical="top" wrapText="1"/>
    </xf>
    <xf numFmtId="0" fontId="23" fillId="8" borderId="2" applyAlignment="1" pivotButton="0" quotePrefix="0" xfId="0">
      <alignment horizontal="center" vertical="top" wrapText="1"/>
    </xf>
    <xf numFmtId="0" fontId="11" fillId="8" borderId="2" applyAlignment="1" pivotButton="0" quotePrefix="0" xfId="0">
      <alignment horizontal="center" vertical="top" wrapText="1"/>
    </xf>
    <xf numFmtId="0" fontId="24" fillId="8" borderId="2" applyAlignment="1" pivotButton="0" quotePrefix="0" xfId="0">
      <alignment horizontal="center" vertical="center" wrapText="1"/>
    </xf>
    <xf numFmtId="0" fontId="25" fillId="6" borderId="2" applyAlignment="1" pivotButton="0" quotePrefix="0" xfId="0">
      <alignment horizontal="center" vertical="top" wrapText="1"/>
    </xf>
    <xf numFmtId="0" fontId="15" fillId="4" borderId="2" applyAlignment="1" pivotButton="0" quotePrefix="0" xfId="0">
      <alignment horizontal="left" vertical="top" wrapText="1"/>
    </xf>
    <xf numFmtId="0" fontId="22" fillId="4" borderId="2" applyAlignment="1" pivotButton="0" quotePrefix="0" xfId="0">
      <alignment horizontal="left" vertical="top" wrapText="1"/>
    </xf>
    <xf numFmtId="0" fontId="26" fillId="10" borderId="2" applyAlignment="1" pivotButton="0" quotePrefix="0" xfId="0">
      <alignment horizontal="center" vertical="top" wrapText="1"/>
    </xf>
    <xf numFmtId="0" fontId="27" fillId="6" borderId="2" applyAlignment="1" pivotButton="0" quotePrefix="0" xfId="0">
      <alignment horizontal="center" vertical="top" wrapText="1"/>
    </xf>
    <xf numFmtId="0" fontId="28" fillId="6" borderId="2" applyAlignment="1" pivotButton="0" quotePrefix="0" xfId="0">
      <alignment horizontal="center" vertical="center" wrapText="1"/>
    </xf>
    <xf numFmtId="0" fontId="29" fillId="5" borderId="2" applyAlignment="1" pivotButton="0" quotePrefix="0" xfId="0">
      <alignment horizontal="center" vertical="top" wrapText="1"/>
    </xf>
    <xf numFmtId="0" fontId="30" fillId="3" borderId="2" applyAlignment="1" pivotButton="0" quotePrefix="0" xfId="0">
      <alignment horizontal="center" vertical="center" wrapText="1"/>
    </xf>
    <xf numFmtId="0" fontId="2" fillId="2" borderId="0" applyAlignment="1" pivotButton="0" quotePrefix="0" xfId="0">
      <alignment horizontal="center" vertical="center"/>
    </xf>
    <xf numFmtId="0" fontId="11" fillId="8" borderId="2" pivotButton="0" quotePrefix="0" xfId="0"/>
    <xf numFmtId="0" fontId="11" fillId="8" borderId="2" applyAlignment="1" pivotButton="0" quotePrefix="0" xfId="0">
      <alignment horizontal="center"/>
    </xf>
    <xf numFmtId="0" fontId="9" fillId="10" borderId="2" pivotButton="0" quotePrefix="0" xfId="0"/>
    <xf numFmtId="0" fontId="25" fillId="6" borderId="2" pivotButton="0" quotePrefix="0" xfId="0"/>
    <xf numFmtId="0" fontId="25" fillId="6" borderId="2" applyAlignment="1" pivotButton="0" quotePrefix="0" xfId="0">
      <alignment horizontal="center"/>
    </xf>
    <xf numFmtId="0" fontId="4" fillId="3" borderId="2" pivotButton="0" quotePrefix="0" xfId="0"/>
    <xf numFmtId="0" fontId="29" fillId="5" borderId="2" pivotButton="0" quotePrefix="0" xfId="0"/>
    <xf numFmtId="0" fontId="29" fillId="5" borderId="2" applyAlignment="1" pivotButton="0" quotePrefix="0" xfId="0">
      <alignment horizontal="center"/>
    </xf>
    <xf numFmtId="0" fontId="15" fillId="16" borderId="2" pivotButton="0" quotePrefix="0" xfId="0"/>
    <xf numFmtId="0" fontId="15" fillId="16" borderId="2"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0"/>
  <sheetViews>
    <sheetView showGridLines="0" workbookViewId="0">
      <pane ySplit="2" topLeftCell="A3" activePane="bottomLeft" state="frozen"/>
      <selection pane="bottomLeft" activeCell="A1" sqref="A1"/>
    </sheetView>
  </sheetViews>
  <sheetFormatPr baseColWidth="8" defaultRowHeight="15"/>
  <cols>
    <col width="14" customWidth="1" min="1" max="1"/>
    <col width="22" customWidth="1" min="2" max="2"/>
    <col width="24" customWidth="1" min="3" max="3"/>
    <col width="14" customWidth="1" min="4" max="4"/>
    <col width="16" customWidth="1" min="5" max="5"/>
    <col width="13" customWidth="1" min="6" max="6"/>
    <col width="14" customWidth="1" min="7" max="7"/>
    <col width="16" customWidth="1" min="8" max="8"/>
    <col width="20" customWidth="1" min="9" max="9"/>
    <col width="42" customWidth="1" min="10" max="10"/>
  </cols>
  <sheetData>
    <row r="1" ht="26" customHeight="1">
      <c r="A1" s="1" t="inlineStr">
        <is>
          <t>NovaPay Financial Technologies — IAM Identity Inventory  |  Assessment Date: Q2 2025  |  CONFIDENTIAL</t>
        </is>
      </c>
    </row>
    <row r="2" ht="30" customHeight="1">
      <c r="A2" s="2" t="inlineStr">
        <is>
          <t>User ID</t>
        </is>
      </c>
      <c r="B2" s="2" t="inlineStr">
        <is>
          <t>Full Name</t>
        </is>
      </c>
      <c r="C2" s="2" t="inlineStr">
        <is>
          <t>Role</t>
        </is>
      </c>
      <c r="D2" s="2" t="inlineStr">
        <is>
          <t>Department</t>
        </is>
      </c>
      <c r="E2" s="2" t="inlineStr">
        <is>
          <t>Access Level</t>
        </is>
      </c>
      <c r="F2" s="2" t="inlineStr">
        <is>
          <t>MFA Enabled</t>
        </is>
      </c>
      <c r="G2" s="2" t="inlineStr">
        <is>
          <t>Last Login</t>
        </is>
      </c>
      <c r="H2" s="2" t="inlineStr">
        <is>
          <t>Account Status</t>
        </is>
      </c>
      <c r="I2" s="2" t="inlineStr">
        <is>
          <t>Risk Flag</t>
        </is>
      </c>
      <c r="J2" s="2" t="inlineStr">
        <is>
          <t>Analyst Notes</t>
        </is>
      </c>
    </row>
    <row r="3" ht="42" customHeight="1">
      <c r="A3" s="3" t="inlineStr">
        <is>
          <t>USR-1001</t>
        </is>
      </c>
      <c r="B3" s="4" t="inlineStr">
        <is>
          <t>James Whitfield</t>
        </is>
      </c>
      <c r="C3" s="4" t="inlineStr">
        <is>
          <t>Developer (Senior)</t>
        </is>
      </c>
      <c r="D3" s="4" t="inlineStr">
        <is>
          <t>Engineering</t>
        </is>
      </c>
      <c r="E3" s="4" t="inlineStr">
        <is>
          <t>Level 3 — Write (Dev/Staging)</t>
        </is>
      </c>
      <c r="F3" s="5" t="inlineStr">
        <is>
          <t>Yes</t>
        </is>
      </c>
      <c r="G3" s="4" t="inlineStr">
        <is>
          <t>2025-05-14</t>
        </is>
      </c>
      <c r="H3" s="6" t="inlineStr">
        <is>
          <t>Active</t>
        </is>
      </c>
      <c r="I3" s="7" t="inlineStr">
        <is>
          <t>ROLE_CREEP</t>
        </is>
      </c>
      <c r="J3" s="8" t="inlineStr">
        <is>
          <t>Retains Engineering Lead Okta group from Mar 2024 restructure. Flagged in SEC-007. Write perms to staging infra beyond current JD.</t>
        </is>
      </c>
    </row>
    <row r="4" ht="18" customHeight="1">
      <c r="A4" s="3" t="inlineStr">
        <is>
          <t>USR-1002</t>
        </is>
      </c>
      <c r="B4" s="9" t="inlineStr">
        <is>
          <t>Priya Nair</t>
        </is>
      </c>
      <c r="C4" s="9" t="inlineStr">
        <is>
          <t>Developer (Junior)</t>
        </is>
      </c>
      <c r="D4" s="9" t="inlineStr">
        <is>
          <t>Engineering</t>
        </is>
      </c>
      <c r="E4" s="9" t="inlineStr">
        <is>
          <t>Level 2 — Read (Dev Only)</t>
        </is>
      </c>
      <c r="F4" s="5" t="inlineStr">
        <is>
          <t>Yes</t>
        </is>
      </c>
      <c r="G4" s="9" t="inlineStr">
        <is>
          <t>2025-05-15</t>
        </is>
      </c>
      <c r="H4" s="6" t="inlineStr">
        <is>
          <t>Active</t>
        </is>
      </c>
      <c r="I4" s="5" t="inlineStr">
        <is>
          <t>CLEAN</t>
        </is>
      </c>
      <c r="J4" s="10" t="inlineStr"/>
    </row>
    <row r="5" ht="42" customHeight="1">
      <c r="A5" s="3" t="inlineStr">
        <is>
          <t>USR-1003</t>
        </is>
      </c>
      <c r="B5" s="4" t="inlineStr">
        <is>
          <t>Marcus Chen</t>
        </is>
      </c>
      <c r="C5" s="4" t="inlineStr">
        <is>
          <t>Engineering Lead</t>
        </is>
      </c>
      <c r="D5" s="4" t="inlineStr">
        <is>
          <t>Engineering</t>
        </is>
      </c>
      <c r="E5" s="4" t="inlineStr">
        <is>
          <t>Level 4 — Write (Dev+Staging)</t>
        </is>
      </c>
      <c r="F5" s="5" t="inlineStr">
        <is>
          <t>Yes</t>
        </is>
      </c>
      <c r="G5" s="4" t="inlineStr">
        <is>
          <t>2025-05-13</t>
        </is>
      </c>
      <c r="H5" s="6" t="inlineStr">
        <is>
          <t>Active</t>
        </is>
      </c>
      <c r="I5" s="5" t="inlineStr">
        <is>
          <t>CLEAN</t>
        </is>
      </c>
      <c r="J5" s="8" t="inlineStr">
        <is>
          <t>Quarterly access cert completed 2025-04-01.</t>
        </is>
      </c>
    </row>
    <row r="6" ht="42" customHeight="1">
      <c r="A6" s="3" t="inlineStr">
        <is>
          <t>USR-1004</t>
        </is>
      </c>
      <c r="B6" s="9" t="inlineStr">
        <is>
          <t>Fatima Al-Rashid</t>
        </is>
      </c>
      <c r="C6" s="9" t="inlineStr">
        <is>
          <t>Developer (Senior)</t>
        </is>
      </c>
      <c r="D6" s="9" t="inlineStr">
        <is>
          <t>Engineering</t>
        </is>
      </c>
      <c r="E6" s="9" t="inlineStr">
        <is>
          <t>Level 3 — Write (Dev/Staging)</t>
        </is>
      </c>
      <c r="F6" s="5" t="inlineStr">
        <is>
          <t>Yes</t>
        </is>
      </c>
      <c r="G6" s="9" t="inlineStr">
        <is>
          <t>2025-03-02</t>
        </is>
      </c>
      <c r="H6" s="6" t="inlineStr">
        <is>
          <t>Active</t>
        </is>
      </c>
      <c r="I6" s="7" t="inlineStr">
        <is>
          <t>ROLE_CREEP</t>
        </is>
      </c>
      <c r="J6" s="10" t="inlineStr">
        <is>
          <t>Retains Engineering Lead group (unrevoked). Last login 73 days ago — borderline inactive threshold.</t>
        </is>
      </c>
    </row>
    <row r="7" ht="42" customHeight="1">
      <c r="A7" s="3" t="inlineStr">
        <is>
          <t>USR-1005</t>
        </is>
      </c>
      <c r="B7" s="4" t="inlineStr">
        <is>
          <t>Ryan O'Brien</t>
        </is>
      </c>
      <c r="C7" s="4" t="inlineStr">
        <is>
          <t>Developer (Junior)</t>
        </is>
      </c>
      <c r="D7" s="4" t="inlineStr">
        <is>
          <t>Engineering</t>
        </is>
      </c>
      <c r="E7" s="4" t="inlineStr">
        <is>
          <t>Level 2 — Read (Dev Only)</t>
        </is>
      </c>
      <c r="F7" s="11" t="inlineStr">
        <is>
          <t>No</t>
        </is>
      </c>
      <c r="G7" s="4" t="inlineStr">
        <is>
          <t>2025-05-10</t>
        </is>
      </c>
      <c r="H7" s="6" t="inlineStr">
        <is>
          <t>Active</t>
        </is>
      </c>
      <c r="I7" s="12" t="inlineStr">
        <is>
          <t>MFA_EXEMPT</t>
        </is>
      </c>
      <c r="J7" s="8" t="inlineStr">
        <is>
          <t>Helpdesk ticket #HD-3821 granted MFA exemption 2025-02-18 — over 90 days elapsed, no renewal. Contractor.</t>
        </is>
      </c>
    </row>
    <row r="8" ht="42" customHeight="1">
      <c r="A8" s="3" t="inlineStr">
        <is>
          <t>USR-1006</t>
        </is>
      </c>
      <c r="B8" s="9" t="inlineStr">
        <is>
          <t>Tanya Kovacs</t>
        </is>
      </c>
      <c r="C8" s="9" t="inlineStr">
        <is>
          <t>Infra Admin</t>
        </is>
      </c>
      <c r="D8" s="9" t="inlineStr">
        <is>
          <t>Engineering</t>
        </is>
      </c>
      <c r="E8" s="9" t="inlineStr">
        <is>
          <t>Level 5 — Full (Infra Acct)</t>
        </is>
      </c>
      <c r="F8" s="5" t="inlineStr">
        <is>
          <t>Yes</t>
        </is>
      </c>
      <c r="G8" s="9" t="inlineStr">
        <is>
          <t>2025-05-15</t>
        </is>
      </c>
      <c r="H8" s="6" t="inlineStr">
        <is>
          <t>Active</t>
        </is>
      </c>
      <c r="I8" s="5" t="inlineStr">
        <is>
          <t>CLEAN</t>
        </is>
      </c>
      <c r="J8" s="10" t="inlineStr">
        <is>
          <t>FIDO2 hardware key enrolled. PAM-vaulted. Quarterly cert OK.</t>
        </is>
      </c>
    </row>
    <row r="9" ht="42" customHeight="1">
      <c r="A9" s="3" t="inlineStr">
        <is>
          <t>USR-1007</t>
        </is>
      </c>
      <c r="B9" s="4" t="inlineStr">
        <is>
          <t>Derek Sampson</t>
        </is>
      </c>
      <c r="C9" s="4" t="inlineStr">
        <is>
          <t>Developer (Senior)</t>
        </is>
      </c>
      <c r="D9" s="4" t="inlineStr">
        <is>
          <t>Engineering</t>
        </is>
      </c>
      <c r="E9" s="4" t="inlineStr">
        <is>
          <t>Level 3 — Write (Dev/Staging)</t>
        </is>
      </c>
      <c r="F9" s="5" t="inlineStr">
        <is>
          <t>Yes</t>
        </is>
      </c>
      <c r="G9" s="4" t="inlineStr">
        <is>
          <t>2024-11-30</t>
        </is>
      </c>
      <c r="H9" s="6" t="inlineStr">
        <is>
          <t>Active</t>
        </is>
      </c>
      <c r="I9" s="13" t="inlineStr">
        <is>
          <t>INACTIVE</t>
        </is>
      </c>
      <c r="J9" s="8" t="inlineStr">
        <is>
          <t>No login in 166 days. Account not suspended. Oncall rotation removed Nov 2024 — possible offboarding gap.</t>
        </is>
      </c>
    </row>
    <row r="10" ht="42" customHeight="1">
      <c r="A10" s="3" t="inlineStr">
        <is>
          <t>USR-1008</t>
        </is>
      </c>
      <c r="B10" s="9" t="inlineStr">
        <is>
          <t>Aisha Mwangi</t>
        </is>
      </c>
      <c r="C10" s="9" t="inlineStr">
        <is>
          <t>Developer (Senior)</t>
        </is>
      </c>
      <c r="D10" s="9" t="inlineStr">
        <is>
          <t>Engineering</t>
        </is>
      </c>
      <c r="E10" s="9" t="inlineStr">
        <is>
          <t>Level 3 — Write (Dev/Staging)</t>
        </is>
      </c>
      <c r="F10" s="5" t="inlineStr">
        <is>
          <t>Yes</t>
        </is>
      </c>
      <c r="G10" s="9" t="inlineStr">
        <is>
          <t>2025-05-12</t>
        </is>
      </c>
      <c r="H10" s="6" t="inlineStr">
        <is>
          <t>Active</t>
        </is>
      </c>
      <c r="I10" s="7" t="inlineStr">
        <is>
          <t>ROLE_CREEP</t>
        </is>
      </c>
      <c r="J10" s="10" t="inlineStr">
        <is>
          <t>Retained Eng Lead group. Detected in quarterly cert but manager attestation overridden without CISO sign-off.</t>
        </is>
      </c>
    </row>
    <row r="11" ht="18" customHeight="1">
      <c r="A11" s="3" t="inlineStr">
        <is>
          <t>USR-1009</t>
        </is>
      </c>
      <c r="B11" s="4" t="inlineStr">
        <is>
          <t>Lucas Ferreira</t>
        </is>
      </c>
      <c r="C11" s="4" t="inlineStr">
        <is>
          <t>Developer (Junior)</t>
        </is>
      </c>
      <c r="D11" s="4" t="inlineStr">
        <is>
          <t>Engineering</t>
        </is>
      </c>
      <c r="E11" s="4" t="inlineStr">
        <is>
          <t>Level 2 — Read (Dev Only)</t>
        </is>
      </c>
      <c r="F11" s="5" t="inlineStr">
        <is>
          <t>Yes</t>
        </is>
      </c>
      <c r="G11" s="4" t="inlineStr">
        <is>
          <t>2025-05-14</t>
        </is>
      </c>
      <c r="H11" s="6" t="inlineStr">
        <is>
          <t>Active</t>
        </is>
      </c>
      <c r="I11" s="5" t="inlineStr">
        <is>
          <t>CLEAN</t>
        </is>
      </c>
      <c r="J11" s="8" t="inlineStr"/>
    </row>
    <row r="12" ht="18" customHeight="1">
      <c r="A12" s="3" t="inlineStr">
        <is>
          <t>USR-1010</t>
        </is>
      </c>
      <c r="B12" s="9" t="inlineStr">
        <is>
          <t>Mei Lin</t>
        </is>
      </c>
      <c r="C12" s="9" t="inlineStr">
        <is>
          <t>Engineering Lead</t>
        </is>
      </c>
      <c r="D12" s="9" t="inlineStr">
        <is>
          <t>Engineering</t>
        </is>
      </c>
      <c r="E12" s="9" t="inlineStr">
        <is>
          <t>Level 4 — Write (Dev+Staging)</t>
        </is>
      </c>
      <c r="F12" s="5" t="inlineStr">
        <is>
          <t>Yes</t>
        </is>
      </c>
      <c r="G12" s="9" t="inlineStr">
        <is>
          <t>2025-05-08</t>
        </is>
      </c>
      <c r="H12" s="6" t="inlineStr">
        <is>
          <t>Active</t>
        </is>
      </c>
      <c r="I12" s="5" t="inlineStr">
        <is>
          <t>CLEAN</t>
        </is>
      </c>
      <c r="J12" s="10" t="inlineStr"/>
    </row>
    <row r="13" ht="42" customHeight="1">
      <c r="A13" s="3" t="inlineStr">
        <is>
          <t>USR-2001</t>
        </is>
      </c>
      <c r="B13" s="4" t="inlineStr">
        <is>
          <t>Sandra Okonkwo</t>
        </is>
      </c>
      <c r="C13" s="4" t="inlineStr">
        <is>
          <t>Finance Manager</t>
        </is>
      </c>
      <c r="D13" s="4" t="inlineStr">
        <is>
          <t>Finance</t>
        </is>
      </c>
      <c r="E13" s="4" t="inlineStr">
        <is>
          <t>Level 4 — Read/Write (Fin)</t>
        </is>
      </c>
      <c r="F13" s="5" t="inlineStr">
        <is>
          <t>Yes</t>
        </is>
      </c>
      <c r="G13" s="4" t="inlineStr">
        <is>
          <t>2025-05-15</t>
        </is>
      </c>
      <c r="H13" s="6" t="inlineStr">
        <is>
          <t>Active</t>
        </is>
      </c>
      <c r="I13" s="5" t="inlineStr">
        <is>
          <t>CLEAN</t>
        </is>
      </c>
      <c r="J13" s="8" t="inlineStr">
        <is>
          <t>MFA 100% coverage dept. Maker-checker workflow enforced.</t>
        </is>
      </c>
    </row>
    <row r="14" ht="18" customHeight="1">
      <c r="A14" s="3" t="inlineStr">
        <is>
          <t>USR-2002</t>
        </is>
      </c>
      <c r="B14" s="9" t="inlineStr">
        <is>
          <t>Tom Hargreaves</t>
        </is>
      </c>
      <c r="C14" s="9" t="inlineStr">
        <is>
          <t>Finance Analyst</t>
        </is>
      </c>
      <c r="D14" s="9" t="inlineStr">
        <is>
          <t>Finance</t>
        </is>
      </c>
      <c r="E14" s="9" t="inlineStr">
        <is>
          <t>Level 3 — Read (Fin Systems)</t>
        </is>
      </c>
      <c r="F14" s="5" t="inlineStr">
        <is>
          <t>Yes</t>
        </is>
      </c>
      <c r="G14" s="9" t="inlineStr">
        <is>
          <t>2025-05-14</t>
        </is>
      </c>
      <c r="H14" s="6" t="inlineStr">
        <is>
          <t>Active</t>
        </is>
      </c>
      <c r="I14" s="5" t="inlineStr">
        <is>
          <t>CLEAN</t>
        </is>
      </c>
      <c r="J14" s="10" t="inlineStr"/>
    </row>
    <row r="15" ht="42" customHeight="1">
      <c r="A15" s="3" t="inlineStr">
        <is>
          <t>USR-2003</t>
        </is>
      </c>
      <c r="B15" s="4" t="inlineStr">
        <is>
          <t>Yuki Tanaka</t>
        </is>
      </c>
      <c r="C15" s="4" t="inlineStr">
        <is>
          <t>Finance Analyst</t>
        </is>
      </c>
      <c r="D15" s="4" t="inlineStr">
        <is>
          <t>Finance</t>
        </is>
      </c>
      <c r="E15" s="4" t="inlineStr">
        <is>
          <t>Level 3 — Read (Fin Systems)</t>
        </is>
      </c>
      <c r="F15" s="5" t="inlineStr">
        <is>
          <t>Yes</t>
        </is>
      </c>
      <c r="G15" s="4" t="inlineStr">
        <is>
          <t>2025-04-28</t>
        </is>
      </c>
      <c r="H15" s="6" t="inlineStr">
        <is>
          <t>Active</t>
        </is>
      </c>
      <c r="I15" s="7" t="inlineStr">
        <is>
          <t>OVER_PRIVILEGED</t>
        </is>
      </c>
      <c r="J15" s="8" t="inlineStr">
        <is>
          <t>Has Admin Dashboard edit rights. Role should be Read-only per RBAC matrix. Provisioned incorrectly during onboarding.</t>
        </is>
      </c>
    </row>
    <row r="16" ht="18" customHeight="1">
      <c r="A16" s="3" t="inlineStr">
        <is>
          <t>USR-2004</t>
        </is>
      </c>
      <c r="B16" s="9" t="inlineStr">
        <is>
          <t>Benson Kariuki</t>
        </is>
      </c>
      <c r="C16" s="9" t="inlineStr">
        <is>
          <t>Finance Analyst</t>
        </is>
      </c>
      <c r="D16" s="9" t="inlineStr">
        <is>
          <t>Finance</t>
        </is>
      </c>
      <c r="E16" s="9" t="inlineStr">
        <is>
          <t>Level 3 — Read (Fin Systems)</t>
        </is>
      </c>
      <c r="F16" s="5" t="inlineStr">
        <is>
          <t>Yes</t>
        </is>
      </c>
      <c r="G16" s="9" t="inlineStr">
        <is>
          <t>2025-05-09</t>
        </is>
      </c>
      <c r="H16" s="6" t="inlineStr">
        <is>
          <t>Active</t>
        </is>
      </c>
      <c r="I16" s="5" t="inlineStr">
        <is>
          <t>CLEAN</t>
        </is>
      </c>
      <c r="J16" s="10" t="inlineStr"/>
    </row>
    <row r="17" ht="42" customHeight="1">
      <c r="A17" s="3" t="inlineStr">
        <is>
          <t>USR-2005</t>
        </is>
      </c>
      <c r="B17" s="4" t="inlineStr">
        <is>
          <t>Nadia Petrov</t>
        </is>
      </c>
      <c r="C17" s="4" t="inlineStr">
        <is>
          <t>Finance Manager</t>
        </is>
      </c>
      <c r="D17" s="4" t="inlineStr">
        <is>
          <t>Finance</t>
        </is>
      </c>
      <c r="E17" s="4" t="inlineStr">
        <is>
          <t>Level 4 — Read/Write (Fin)</t>
        </is>
      </c>
      <c r="F17" s="11" t="inlineStr">
        <is>
          <t>No</t>
        </is>
      </c>
      <c r="G17" s="4" t="inlineStr">
        <is>
          <t>2025-05-13</t>
        </is>
      </c>
      <c r="H17" s="6" t="inlineStr">
        <is>
          <t>Active</t>
        </is>
      </c>
      <c r="I17" s="11" t="inlineStr">
        <is>
          <t>NO_MFA_ADMIN</t>
        </is>
      </c>
      <c r="J17" s="8" t="inlineStr">
        <is>
          <t>⚠ CRITICAL: Manager-level account with no MFA. Exemption ticket #HD-4102 expired 2025-03-01. Escalated to CISO — no action taken.</t>
        </is>
      </c>
    </row>
    <row r="18" ht="18" customHeight="1">
      <c r="A18" s="3" t="inlineStr">
        <is>
          <t>USR-3001</t>
        </is>
      </c>
      <c r="B18" s="9" t="inlineStr">
        <is>
          <t>Chloe Dubois</t>
        </is>
      </c>
      <c r="C18" s="9" t="inlineStr">
        <is>
          <t>HR Specialist</t>
        </is>
      </c>
      <c r="D18" s="9" t="inlineStr">
        <is>
          <t>HR</t>
        </is>
      </c>
      <c r="E18" s="9" t="inlineStr">
        <is>
          <t>Level 2 — Read (HR Systems)</t>
        </is>
      </c>
      <c r="F18" s="5" t="inlineStr">
        <is>
          <t>Yes</t>
        </is>
      </c>
      <c r="G18" s="9" t="inlineStr">
        <is>
          <t>2025-05-12</t>
        </is>
      </c>
      <c r="H18" s="6" t="inlineStr">
        <is>
          <t>Active</t>
        </is>
      </c>
      <c r="I18" s="5" t="inlineStr">
        <is>
          <t>CLEAN</t>
        </is>
      </c>
      <c r="J18" s="10" t="inlineStr"/>
    </row>
    <row r="19" ht="42" customHeight="1">
      <c r="A19" s="3" t="inlineStr">
        <is>
          <t>USR-3002</t>
        </is>
      </c>
      <c r="B19" s="4" t="inlineStr">
        <is>
          <t>Bernard Osei</t>
        </is>
      </c>
      <c r="C19" s="4" t="inlineStr">
        <is>
          <t>HR Specialist</t>
        </is>
      </c>
      <c r="D19" s="4" t="inlineStr">
        <is>
          <t>HR</t>
        </is>
      </c>
      <c r="E19" s="4" t="inlineStr">
        <is>
          <t>Level 2 — Read (HR Systems)</t>
        </is>
      </c>
      <c r="F19" s="11" t="inlineStr">
        <is>
          <t>No</t>
        </is>
      </c>
      <c r="G19" s="4" t="inlineStr">
        <is>
          <t>2025-05-01</t>
        </is>
      </c>
      <c r="H19" s="6" t="inlineStr">
        <is>
          <t>Active</t>
        </is>
      </c>
      <c r="I19" s="12" t="inlineStr">
        <is>
          <t>MFA_EXEMPT</t>
        </is>
      </c>
      <c r="J19" s="8" t="inlineStr">
        <is>
          <t>Part-time staff, MFA exemption granted 2025-01-10. 125 days elapsed — exceeds 30-day auto-expiry policy. Not enforced.</t>
        </is>
      </c>
    </row>
    <row r="20" ht="42" customHeight="1">
      <c r="A20" s="3" t="inlineStr">
        <is>
          <t>USR-3003</t>
        </is>
      </c>
      <c r="B20" s="9" t="inlineStr">
        <is>
          <t>Lin Jing</t>
        </is>
      </c>
      <c r="C20" s="9" t="inlineStr">
        <is>
          <t>HR Specialist</t>
        </is>
      </c>
      <c r="D20" s="9" t="inlineStr">
        <is>
          <t>HR</t>
        </is>
      </c>
      <c r="E20" s="9" t="inlineStr">
        <is>
          <t>Level 2 — Read (HR Systems)</t>
        </is>
      </c>
      <c r="F20" s="5" t="inlineStr">
        <is>
          <t>Yes</t>
        </is>
      </c>
      <c r="G20" s="9" t="inlineStr">
        <is>
          <t>2025-03-15</t>
        </is>
      </c>
      <c r="H20" s="6" t="inlineStr">
        <is>
          <t>Active</t>
        </is>
      </c>
      <c r="I20" s="13" t="inlineStr">
        <is>
          <t>INACTIVE</t>
        </is>
      </c>
      <c r="J20" s="10" t="inlineStr">
        <is>
          <t>Last login 61 days ago. HR reports employee on extended leave — account not suspended per policy.</t>
        </is>
      </c>
    </row>
    <row r="21" ht="18" customHeight="1">
      <c r="A21" s="3" t="inlineStr">
        <is>
          <t>USR-3004</t>
        </is>
      </c>
      <c r="B21" s="4" t="inlineStr">
        <is>
          <t>Marcus Webb</t>
        </is>
      </c>
      <c r="C21" s="4" t="inlineStr">
        <is>
          <t>HR Specialist</t>
        </is>
      </c>
      <c r="D21" s="4" t="inlineStr">
        <is>
          <t>HR</t>
        </is>
      </c>
      <c r="E21" s="4" t="inlineStr">
        <is>
          <t>Level 2 — Read (HR Systems)</t>
        </is>
      </c>
      <c r="F21" s="5" t="inlineStr">
        <is>
          <t>Yes</t>
        </is>
      </c>
      <c r="G21" s="4" t="inlineStr">
        <is>
          <t>2025-05-11</t>
        </is>
      </c>
      <c r="H21" s="6" t="inlineStr">
        <is>
          <t>Active</t>
        </is>
      </c>
      <c r="I21" s="5" t="inlineStr">
        <is>
          <t>CLEAN</t>
        </is>
      </c>
      <c r="J21" s="8" t="inlineStr"/>
    </row>
    <row r="22" ht="42" customHeight="1">
      <c r="A22" s="3" t="inlineStr">
        <is>
          <t>USR-4001</t>
        </is>
      </c>
      <c r="B22" s="9" t="inlineStr">
        <is>
          <t>Isabel Santos</t>
        </is>
      </c>
      <c r="C22" s="9" t="inlineStr">
        <is>
          <t>Support Manager</t>
        </is>
      </c>
      <c r="D22" s="9" t="inlineStr">
        <is>
          <t>Support</t>
        </is>
      </c>
      <c r="E22" s="9" t="inlineStr">
        <is>
          <t>Level 4 — Full (Web App)</t>
        </is>
      </c>
      <c r="F22" s="5" t="inlineStr">
        <is>
          <t>Yes</t>
        </is>
      </c>
      <c r="G22" s="9" t="inlineStr">
        <is>
          <t>2025-05-15</t>
        </is>
      </c>
      <c r="H22" s="6" t="inlineStr">
        <is>
          <t>Active</t>
        </is>
      </c>
      <c r="I22" s="5" t="inlineStr">
        <is>
          <t>CLEAN</t>
        </is>
      </c>
      <c r="J22" s="10" t="inlineStr">
        <is>
          <t>Session recording not enforced on Admin Dashboard access — tracked SEC-007.</t>
        </is>
      </c>
    </row>
    <row r="23" ht="18" customHeight="1">
      <c r="A23" s="3" t="inlineStr">
        <is>
          <t>USR-4002</t>
        </is>
      </c>
      <c r="B23" s="4" t="inlineStr">
        <is>
          <t>Kevin Oduya</t>
        </is>
      </c>
      <c r="C23" s="4" t="inlineStr">
        <is>
          <t>Support Agent (T2)</t>
        </is>
      </c>
      <c r="D23" s="4" t="inlineStr">
        <is>
          <t>Support</t>
        </is>
      </c>
      <c r="E23" s="4" t="inlineStr">
        <is>
          <t>Level 3 — Read/Write (WebApp)</t>
        </is>
      </c>
      <c r="F23" s="5" t="inlineStr">
        <is>
          <t>Yes</t>
        </is>
      </c>
      <c r="G23" s="4" t="inlineStr">
        <is>
          <t>2025-05-14</t>
        </is>
      </c>
      <c r="H23" s="6" t="inlineStr">
        <is>
          <t>Active</t>
        </is>
      </c>
      <c r="I23" s="5" t="inlineStr">
        <is>
          <t>CLEAN</t>
        </is>
      </c>
      <c r="J23" s="8" t="inlineStr"/>
    </row>
    <row r="24" ht="42" customHeight="1">
      <c r="A24" s="3" t="inlineStr">
        <is>
          <t>USR-4003</t>
        </is>
      </c>
      <c r="B24" s="9" t="inlineStr">
        <is>
          <t>Amara Diallo</t>
        </is>
      </c>
      <c r="C24" s="9" t="inlineStr">
        <is>
          <t>Support Agent (T1)</t>
        </is>
      </c>
      <c r="D24" s="9" t="inlineStr">
        <is>
          <t>Support</t>
        </is>
      </c>
      <c r="E24" s="9" t="inlineStr">
        <is>
          <t>Level 1 — Read Only</t>
        </is>
      </c>
      <c r="F24" s="11" t="inlineStr">
        <is>
          <t>No</t>
        </is>
      </c>
      <c r="G24" s="9" t="inlineStr">
        <is>
          <t>2025-05-10</t>
        </is>
      </c>
      <c r="H24" s="6" t="inlineStr">
        <is>
          <t>Active</t>
        </is>
      </c>
      <c r="I24" s="12" t="inlineStr">
        <is>
          <t>MFA_EXEMPT</t>
        </is>
      </c>
      <c r="J24" s="10" t="inlineStr">
        <is>
          <t>T1 agent pending MFA enrollment. Ticket #HD-5009 open 45 days with no resolution.</t>
        </is>
      </c>
    </row>
    <row r="25" ht="42" customHeight="1">
      <c r="A25" s="3" t="inlineStr">
        <is>
          <t>USR-4004</t>
        </is>
      </c>
      <c r="B25" s="4" t="inlineStr">
        <is>
          <t>Craig Thompson</t>
        </is>
      </c>
      <c r="C25" s="4" t="inlineStr">
        <is>
          <t>Support Agent (T1)</t>
        </is>
      </c>
      <c r="D25" s="4" t="inlineStr">
        <is>
          <t>Support</t>
        </is>
      </c>
      <c r="E25" s="4" t="inlineStr">
        <is>
          <t>Level 1 — Read Only</t>
        </is>
      </c>
      <c r="F25" s="11" t="inlineStr">
        <is>
          <t>No</t>
        </is>
      </c>
      <c r="G25" s="4" t="inlineStr">
        <is>
          <t>2025-04-22</t>
        </is>
      </c>
      <c r="H25" s="6" t="inlineStr">
        <is>
          <t>Active</t>
        </is>
      </c>
      <c r="I25" s="12" t="inlineStr">
        <is>
          <t>MFA_EXEMPT</t>
        </is>
      </c>
      <c r="J25" s="8" t="inlineStr">
        <is>
          <t>T1 agent. MFA exemption — risk accepted by Support Manager 2025-03-15. Not reviewed since.</t>
        </is>
      </c>
    </row>
    <row r="26" ht="18" customHeight="1">
      <c r="A26" s="3" t="inlineStr">
        <is>
          <t>USR-4005</t>
        </is>
      </c>
      <c r="B26" s="9" t="inlineStr">
        <is>
          <t>Priscilla Nakamura</t>
        </is>
      </c>
      <c r="C26" s="9" t="inlineStr">
        <is>
          <t>Support Agent (T2)</t>
        </is>
      </c>
      <c r="D26" s="9" t="inlineStr">
        <is>
          <t>Support</t>
        </is>
      </c>
      <c r="E26" s="9" t="inlineStr">
        <is>
          <t>Level 3 — Read/Write (WebApp)</t>
        </is>
      </c>
      <c r="F26" s="5" t="inlineStr">
        <is>
          <t>Yes</t>
        </is>
      </c>
      <c r="G26" s="9" t="inlineStr">
        <is>
          <t>2025-05-13</t>
        </is>
      </c>
      <c r="H26" s="6" t="inlineStr">
        <is>
          <t>Active</t>
        </is>
      </c>
      <c r="I26" s="5" t="inlineStr">
        <is>
          <t>CLEAN</t>
        </is>
      </c>
      <c r="J26" s="10" t="inlineStr"/>
    </row>
    <row r="27" ht="42" customHeight="1">
      <c r="A27" s="3" t="inlineStr">
        <is>
          <t>USR-4006</t>
        </is>
      </c>
      <c r="B27" s="4" t="inlineStr">
        <is>
          <t>David Mensah</t>
        </is>
      </c>
      <c r="C27" s="4" t="inlineStr">
        <is>
          <t>Support Agent (T1)</t>
        </is>
      </c>
      <c r="D27" s="4" t="inlineStr">
        <is>
          <t>Support</t>
        </is>
      </c>
      <c r="E27" s="4" t="inlineStr">
        <is>
          <t>Level 1 — Read Only</t>
        </is>
      </c>
      <c r="F27" s="5" t="inlineStr">
        <is>
          <t>Yes</t>
        </is>
      </c>
      <c r="G27" s="4" t="inlineStr">
        <is>
          <t>2024-12-05</t>
        </is>
      </c>
      <c r="H27" s="6" t="inlineStr">
        <is>
          <t>Active</t>
        </is>
      </c>
      <c r="I27" s="13" t="inlineStr">
        <is>
          <t>INACTIVE</t>
        </is>
      </c>
      <c r="J27" s="8" t="inlineStr">
        <is>
          <t>No login in 161 days. Still Active status. IT notified 2025-04-10 — no response. Possible ghost account.</t>
        </is>
      </c>
    </row>
    <row r="28" ht="42" customHeight="1">
      <c r="A28" s="3" t="inlineStr">
        <is>
          <t>USR-4007</t>
        </is>
      </c>
      <c r="B28" s="9" t="inlineStr">
        <is>
          <t>Rachel Kim</t>
        </is>
      </c>
      <c r="C28" s="9" t="inlineStr">
        <is>
          <t>Support Agent (T2)</t>
        </is>
      </c>
      <c r="D28" s="9" t="inlineStr">
        <is>
          <t>Support</t>
        </is>
      </c>
      <c r="E28" s="9" t="inlineStr">
        <is>
          <t>Level 3 — Read/Write (WebApp)</t>
        </is>
      </c>
      <c r="F28" s="11" t="inlineStr">
        <is>
          <t>No</t>
        </is>
      </c>
      <c r="G28" s="9" t="inlineStr">
        <is>
          <t>2025-05-09</t>
        </is>
      </c>
      <c r="H28" s="6" t="inlineStr">
        <is>
          <t>Active</t>
        </is>
      </c>
      <c r="I28" s="12" t="inlineStr">
        <is>
          <t>MFA_EXEMPT</t>
        </is>
      </c>
      <c r="J28" s="10" t="inlineStr">
        <is>
          <t>MFA exemption ticket #HD-5210. Accesses customer PII via Web App without MFA — high risk.</t>
        </is>
      </c>
    </row>
    <row r="29" ht="42" customHeight="1">
      <c r="A29" s="3" t="inlineStr">
        <is>
          <t>USR-5001</t>
        </is>
      </c>
      <c r="B29" s="4" t="inlineStr">
        <is>
          <t>Omar Farouk</t>
        </is>
      </c>
      <c r="C29" s="4" t="inlineStr">
        <is>
          <t>Security Analyst</t>
        </is>
      </c>
      <c r="D29" s="4" t="inlineStr">
        <is>
          <t>Security</t>
        </is>
      </c>
      <c r="E29" s="4" t="inlineStr">
        <is>
          <t>Level 5 — Full (Audit)</t>
        </is>
      </c>
      <c r="F29" s="5" t="inlineStr">
        <is>
          <t>Yes</t>
        </is>
      </c>
      <c r="G29" s="4" t="inlineStr">
        <is>
          <t>2025-05-15</t>
        </is>
      </c>
      <c r="H29" s="6" t="inlineStr">
        <is>
          <t>Active</t>
        </is>
      </c>
      <c r="I29" s="5" t="inlineStr">
        <is>
          <t>CLEAN</t>
        </is>
      </c>
      <c r="J29" s="8" t="inlineStr">
        <is>
          <t>FIDO2 YubiKey 5 NFC. Access cert completed 2025-04-01. PAM enrolled.</t>
        </is>
      </c>
    </row>
    <row r="30" ht="42" customHeight="1">
      <c r="A30" s="3" t="inlineStr">
        <is>
          <t>USR-5002</t>
        </is>
      </c>
      <c r="B30" s="9" t="inlineStr">
        <is>
          <t>Elena Volkov</t>
        </is>
      </c>
      <c r="C30" s="9" t="inlineStr">
        <is>
          <t>Security Analyst</t>
        </is>
      </c>
      <c r="D30" s="9" t="inlineStr">
        <is>
          <t>Security</t>
        </is>
      </c>
      <c r="E30" s="9" t="inlineStr">
        <is>
          <t>Level 5 — Full (Audit)</t>
        </is>
      </c>
      <c r="F30" s="5" t="inlineStr">
        <is>
          <t>Yes</t>
        </is>
      </c>
      <c r="G30" s="9" t="inlineStr">
        <is>
          <t>2025-05-14</t>
        </is>
      </c>
      <c r="H30" s="6" t="inlineStr">
        <is>
          <t>Active</t>
        </is>
      </c>
      <c r="I30" s="5" t="inlineStr">
        <is>
          <t>CLEAN</t>
        </is>
      </c>
      <c r="J30" s="10" t="inlineStr">
        <is>
          <t>FIDO2 enrolled.</t>
        </is>
      </c>
    </row>
    <row r="31" ht="42" customHeight="1">
      <c r="A31" s="3" t="inlineStr">
        <is>
          <t>USR-5003</t>
        </is>
      </c>
      <c r="B31" s="4" t="inlineStr">
        <is>
          <t>James Obi</t>
        </is>
      </c>
      <c r="C31" s="4" t="inlineStr">
        <is>
          <t>Super-Admin</t>
        </is>
      </c>
      <c r="D31" s="4" t="inlineStr">
        <is>
          <t>Security</t>
        </is>
      </c>
      <c r="E31" s="4" t="inlineStr">
        <is>
          <t>Level 6 — Super-Admin (All)</t>
        </is>
      </c>
      <c r="F31" s="5" t="inlineStr">
        <is>
          <t>Yes</t>
        </is>
      </c>
      <c r="G31" s="4" t="inlineStr">
        <is>
          <t>2025-05-15</t>
        </is>
      </c>
      <c r="H31" s="6" t="inlineStr">
        <is>
          <t>Active</t>
        </is>
      </c>
      <c r="I31" s="5" t="inlineStr">
        <is>
          <t>CLEAN</t>
        </is>
      </c>
      <c r="J31" s="8" t="inlineStr">
        <is>
          <t>Time-bounded escalation via CyberArk. All sessions recorded. Break-glass SOP followed.</t>
        </is>
      </c>
    </row>
    <row r="32" ht="42" customHeight="1">
      <c r="A32" s="3" t="inlineStr">
        <is>
          <t>SVC-6001</t>
        </is>
      </c>
      <c r="B32" s="9" t="inlineStr">
        <is>
          <t>svc-payment-processor</t>
        </is>
      </c>
      <c r="C32" s="9" t="inlineStr">
        <is>
          <t>Service Acct (App)</t>
        </is>
      </c>
      <c r="D32" s="9" t="inlineStr">
        <is>
          <t>Engineering</t>
        </is>
      </c>
      <c r="E32" s="9" t="inlineStr">
        <is>
          <t>Level 4 — API (Payment API)</t>
        </is>
      </c>
      <c r="F32" s="14" t="inlineStr">
        <is>
          <t>N/A</t>
        </is>
      </c>
      <c r="G32" s="9" t="inlineStr">
        <is>
          <t>2025-05-15</t>
        </is>
      </c>
      <c r="H32" s="6" t="inlineStr">
        <is>
          <t>Active</t>
        </is>
      </c>
      <c r="I32" s="7" t="inlineStr">
        <is>
          <t>STALE_CREDS</t>
        </is>
      </c>
      <c r="J32" s="10" t="inlineStr">
        <is>
          <t>⚠ API key unrotated 312 days — exceeds 90-day policy. IAM perms include payment initiation. SEC-005.</t>
        </is>
      </c>
    </row>
    <row r="33" ht="42" customHeight="1">
      <c r="A33" s="3" t="inlineStr">
        <is>
          <t>SVC-6002</t>
        </is>
      </c>
      <c r="B33" s="4" t="inlineStr">
        <is>
          <t>svc-notification</t>
        </is>
      </c>
      <c r="C33" s="4" t="inlineStr">
        <is>
          <t>Service Acct (App)</t>
        </is>
      </c>
      <c r="D33" s="4" t="inlineStr">
        <is>
          <t>Engineering</t>
        </is>
      </c>
      <c r="E33" s="4" t="inlineStr">
        <is>
          <t>Level 3 — API (Notif API)</t>
        </is>
      </c>
      <c r="F33" s="14" t="inlineStr">
        <is>
          <t>N/A</t>
        </is>
      </c>
      <c r="G33" s="4" t="inlineStr">
        <is>
          <t>2025-05-14</t>
        </is>
      </c>
      <c r="H33" s="6" t="inlineStr">
        <is>
          <t>Active</t>
        </is>
      </c>
      <c r="I33" s="7" t="inlineStr">
        <is>
          <t>STALE_CREDS</t>
        </is>
      </c>
      <c r="J33" s="8" t="inlineStr">
        <is>
          <t>API key unrotated 201 days. Vault lease expired. Rotation request #CH-1102 stalled.</t>
        </is>
      </c>
    </row>
    <row r="34" ht="42" customHeight="1">
      <c r="A34" s="3" t="inlineStr">
        <is>
          <t>SVC-6003</t>
        </is>
      </c>
      <c r="B34" s="9" t="inlineStr">
        <is>
          <t>svc-reporting-ext</t>
        </is>
      </c>
      <c r="C34" s="9" t="inlineStr">
        <is>
          <t>Service Acct (App)</t>
        </is>
      </c>
      <c r="D34" s="9" t="inlineStr">
        <is>
          <t>Finance</t>
        </is>
      </c>
      <c r="E34" s="9" t="inlineStr">
        <is>
          <t>Level 2 — API (Read Only)</t>
        </is>
      </c>
      <c r="F34" s="14" t="inlineStr">
        <is>
          <t>N/A</t>
        </is>
      </c>
      <c r="G34" s="9" t="inlineStr">
        <is>
          <t>2025-05-01</t>
        </is>
      </c>
      <c r="H34" s="6" t="inlineStr">
        <is>
          <t>Active</t>
        </is>
      </c>
      <c r="I34" s="7" t="inlineStr">
        <is>
          <t>STALE_CREDS</t>
        </is>
      </c>
      <c r="J34" s="10" t="inlineStr">
        <is>
          <t>API key unrotated 194 days. Used by external BI connector — rotation requires vendor coordination.</t>
        </is>
      </c>
    </row>
    <row r="35" ht="42" customHeight="1">
      <c r="A35" s="3" t="inlineStr">
        <is>
          <t>SVC-6004</t>
        </is>
      </c>
      <c r="B35" s="4" t="inlineStr">
        <is>
          <t>svc-legacy-onboarding</t>
        </is>
      </c>
      <c r="C35" s="4" t="inlineStr">
        <is>
          <t>Service Acct (App)</t>
        </is>
      </c>
      <c r="D35" s="4" t="inlineStr">
        <is>
          <t>Engineering</t>
        </is>
      </c>
      <c r="E35" s="4" t="inlineStr">
        <is>
          <t>Level 3 — API (Write)</t>
        </is>
      </c>
      <c r="F35" s="14" t="inlineStr">
        <is>
          <t>N/A</t>
        </is>
      </c>
      <c r="G35" s="4" t="inlineStr">
        <is>
          <t>2025-02-10</t>
        </is>
      </c>
      <c r="H35" s="6" t="inlineStr">
        <is>
          <t>Active</t>
        </is>
      </c>
      <c r="I35" s="7" t="inlineStr">
        <is>
          <t>STALE_CREDS</t>
        </is>
      </c>
      <c r="J35" s="8" t="inlineStr">
        <is>
          <t>API key unrotated 188 days. Service partially decommissioned — unclear if still in active use.</t>
        </is>
      </c>
    </row>
    <row r="36" ht="42" customHeight="1">
      <c r="A36" s="3" t="inlineStr">
        <is>
          <t>SVC-6005</t>
        </is>
      </c>
      <c r="B36" s="9" t="inlineStr">
        <is>
          <t>svc-db-staging-rw</t>
        </is>
      </c>
      <c r="C36" s="9" t="inlineStr">
        <is>
          <t>Service Acct (DB)</t>
        </is>
      </c>
      <c r="D36" s="9" t="inlineStr">
        <is>
          <t>Engineering</t>
        </is>
      </c>
      <c r="E36" s="9" t="inlineStr">
        <is>
          <t>Level 4 — DB Write (Staging)</t>
        </is>
      </c>
      <c r="F36" s="14" t="inlineStr">
        <is>
          <t>N/A</t>
        </is>
      </c>
      <c r="G36" s="9" t="inlineStr">
        <is>
          <t>2025-05-15</t>
        </is>
      </c>
      <c r="H36" s="6" t="inlineStr">
        <is>
          <t>Active</t>
        </is>
      </c>
      <c r="I36" s="7" t="inlineStr">
        <is>
          <t>STALE_CREDS</t>
        </is>
      </c>
      <c r="J36" s="10" t="inlineStr">
        <is>
          <t>⚠ CRITICAL: Static PG creds in 6 dev ~/.pgpass + 2 CI env vars. Staging has real PAN data. Unrotated 187 days. SEC-002.</t>
        </is>
      </c>
    </row>
    <row r="37" ht="42" customHeight="1">
      <c r="A37" s="3" t="inlineStr">
        <is>
          <t>SVC-6006</t>
        </is>
      </c>
      <c r="B37" s="4" t="inlineStr">
        <is>
          <t>svc-cicd-pipeline</t>
        </is>
      </c>
      <c r="C37" s="4" t="inlineStr">
        <is>
          <t>Service Acct (Pipeline)</t>
        </is>
      </c>
      <c r="D37" s="4" t="inlineStr">
        <is>
          <t>Engineering</t>
        </is>
      </c>
      <c r="E37" s="4" t="inlineStr">
        <is>
          <t>Level 3 — AWS ECR/S3 Write</t>
        </is>
      </c>
      <c r="F37" s="14" t="inlineStr">
        <is>
          <t>N/A</t>
        </is>
      </c>
      <c r="G37" s="4" t="inlineStr">
        <is>
          <t>2025-05-15</t>
        </is>
      </c>
      <c r="H37" s="6" t="inlineStr">
        <is>
          <t>Active</t>
        </is>
      </c>
      <c r="I37" s="5" t="inlineStr">
        <is>
          <t>CLEAN</t>
        </is>
      </c>
      <c r="J37" s="8" t="inlineStr">
        <is>
          <t>OIDC federation. Short-lived tokens. No static keys. Cert valid.</t>
        </is>
      </c>
    </row>
    <row r="38" ht="42" customHeight="1">
      <c r="A38" s="3" t="inlineStr">
        <is>
          <t>SHR-7001</t>
        </is>
      </c>
      <c r="B38" s="9" t="inlineStr">
        <is>
          <t>svc-ops-dash</t>
        </is>
      </c>
      <c r="C38" s="9" t="inlineStr">
        <is>
          <t>Shared Account</t>
        </is>
      </c>
      <c r="D38" s="9" t="inlineStr">
        <is>
          <t>Support</t>
        </is>
      </c>
      <c r="E38" s="9" t="inlineStr">
        <is>
          <t>Level 5 — Admin Dashboard</t>
        </is>
      </c>
      <c r="F38" s="11" t="inlineStr">
        <is>
          <t>No</t>
        </is>
      </c>
      <c r="G38" s="9" t="inlineStr">
        <is>
          <t>2025-05-14</t>
        </is>
      </c>
      <c r="H38" s="6" t="inlineStr">
        <is>
          <t>Active</t>
        </is>
      </c>
      <c r="I38" s="15" t="inlineStr">
        <is>
          <t>SHARED_ACCOUNT</t>
        </is>
      </c>
      <c r="J38" s="10" t="inlineStr">
        <is>
          <t>⚠ CRITICAL: Generic shared account — known to 4+ staff. Static password, no MFA, no Okta SSO. Last pw change: unknown. Bypasses all IdP controls. SEC-001.</t>
        </is>
      </c>
    </row>
    <row r="39" ht="42" customHeight="1">
      <c r="A39" s="3" t="inlineStr">
        <is>
          <t>SHR-7002</t>
        </is>
      </c>
      <c r="B39" s="4" t="inlineStr">
        <is>
          <t>admin-shared01</t>
        </is>
      </c>
      <c r="C39" s="4" t="inlineStr">
        <is>
          <t>Shared Account</t>
        </is>
      </c>
      <c r="D39" s="4" t="inlineStr">
        <is>
          <t>Support</t>
        </is>
      </c>
      <c r="E39" s="4" t="inlineStr">
        <is>
          <t>Level 5 — Admin Dashboard</t>
        </is>
      </c>
      <c r="F39" s="11" t="inlineStr">
        <is>
          <t>No</t>
        </is>
      </c>
      <c r="G39" s="4" t="inlineStr">
        <is>
          <t>2025-05-12</t>
        </is>
      </c>
      <c r="H39" s="6" t="inlineStr">
        <is>
          <t>Active</t>
        </is>
      </c>
      <c r="I39" s="15" t="inlineStr">
        <is>
          <t>SHARED_ACCOUNT</t>
        </is>
      </c>
      <c r="J39" s="8" t="inlineStr">
        <is>
          <t>⚠ CRITICAL: Shared admin account. No MFA. Password unchanged 400+ days. Full merchant data + transaction override access.</t>
        </is>
      </c>
    </row>
    <row r="40" ht="42" customHeight="1">
      <c r="A40" s="3" t="inlineStr">
        <is>
          <t>SHR-7003</t>
        </is>
      </c>
      <c r="B40" s="9" t="inlineStr">
        <is>
          <t>support-admin</t>
        </is>
      </c>
      <c r="C40" s="9" t="inlineStr">
        <is>
          <t>Shared Account</t>
        </is>
      </c>
      <c r="D40" s="9" t="inlineStr">
        <is>
          <t>Support</t>
        </is>
      </c>
      <c r="E40" s="9" t="inlineStr">
        <is>
          <t>Level 5 — Admin Dashboard</t>
        </is>
      </c>
      <c r="F40" s="11" t="inlineStr">
        <is>
          <t>No</t>
        </is>
      </c>
      <c r="G40" s="9" t="inlineStr">
        <is>
          <t>2025-04-30</t>
        </is>
      </c>
      <c r="H40" s="6" t="inlineStr">
        <is>
          <t>Active</t>
        </is>
      </c>
      <c r="I40" s="15" t="inlineStr">
        <is>
          <t>SHARED_ACCOUNT</t>
        </is>
      </c>
      <c r="J40" s="10" t="inlineStr">
        <is>
          <t>⚠ CRITICAL: Third shared account on Admin Dashboard. Unknown number of active users. Used for fee waiver approvals — zero audit trail.</t>
        </is>
      </c>
    </row>
    <row r="41" ht="42" customHeight="1">
      <c r="A41" s="3" t="inlineStr">
        <is>
          <t>USR-8001</t>
        </is>
      </c>
      <c r="B41" s="4" t="inlineStr">
        <is>
          <t>Chris Alderton</t>
        </is>
      </c>
      <c r="C41" s="4" t="inlineStr">
        <is>
          <t>Developer (Senior)</t>
        </is>
      </c>
      <c r="D41" s="4" t="inlineStr">
        <is>
          <t>Engineering</t>
        </is>
      </c>
      <c r="E41" s="4" t="inlineStr">
        <is>
          <t>Level 3 — Write (Dev/Staging)</t>
        </is>
      </c>
      <c r="F41" s="5" t="inlineStr">
        <is>
          <t>Yes</t>
        </is>
      </c>
      <c r="G41" s="4" t="inlineStr">
        <is>
          <t>2025-01-08</t>
        </is>
      </c>
      <c r="H41" s="6" t="inlineStr">
        <is>
          <t>Active</t>
        </is>
      </c>
      <c r="I41" s="11" t="inlineStr">
        <is>
          <t>ORPHANED</t>
        </is>
      </c>
      <c r="J41" s="8" t="inlineStr">
        <is>
          <t>⚠ Employee terminated 2025-01-15 per HR records. Account never disabled. Active AWS IAM permissions remain. Offboarding gap.</t>
        </is>
      </c>
    </row>
    <row r="42" ht="42" customHeight="1">
      <c r="A42" s="3" t="inlineStr">
        <is>
          <t>USR-8002</t>
        </is>
      </c>
      <c r="B42" s="9" t="inlineStr">
        <is>
          <t>Justine Moreau</t>
        </is>
      </c>
      <c r="C42" s="9" t="inlineStr">
        <is>
          <t>Finance Analyst</t>
        </is>
      </c>
      <c r="D42" s="9" t="inlineStr">
        <is>
          <t>Finance</t>
        </is>
      </c>
      <c r="E42" s="9" t="inlineStr">
        <is>
          <t>Level 3 — Read (Fin Systems)</t>
        </is>
      </c>
      <c r="F42" s="5" t="inlineStr">
        <is>
          <t>Yes</t>
        </is>
      </c>
      <c r="G42" s="9" t="inlineStr">
        <is>
          <t>2024-10-22</t>
        </is>
      </c>
      <c r="H42" s="16" t="inlineStr">
        <is>
          <t>Suspended</t>
        </is>
      </c>
      <c r="I42" s="11" t="inlineStr">
        <is>
          <t>ORPHANED</t>
        </is>
      </c>
      <c r="J42" s="10" t="inlineStr">
        <is>
          <t>Contractor ended Oct 2024. Account suspended but not deleted. Okta license still consuming seat. AWS IAM role attachment not removed.</t>
        </is>
      </c>
    </row>
    <row r="43" ht="42" customHeight="1">
      <c r="A43" s="3" t="inlineStr">
        <is>
          <t>USR-8003</t>
        </is>
      </c>
      <c r="B43" s="4" t="inlineStr">
        <is>
          <t>Nonso Eze</t>
        </is>
      </c>
      <c r="C43" s="4" t="inlineStr">
        <is>
          <t>Support Agent (T2)</t>
        </is>
      </c>
      <c r="D43" s="4" t="inlineStr">
        <is>
          <t>Support</t>
        </is>
      </c>
      <c r="E43" s="4" t="inlineStr">
        <is>
          <t>Level 3 — Read/Write (WebApp)</t>
        </is>
      </c>
      <c r="F43" s="5" t="inlineStr">
        <is>
          <t>Yes</t>
        </is>
      </c>
      <c r="G43" s="4" t="inlineStr">
        <is>
          <t>2025-02-28</t>
        </is>
      </c>
      <c r="H43" s="6" t="inlineStr">
        <is>
          <t>Active</t>
        </is>
      </c>
      <c r="I43" s="11" t="inlineStr">
        <is>
          <t>ORPHANED</t>
        </is>
      </c>
      <c r="J43" s="8" t="inlineStr">
        <is>
          <t>Transferred to partner org Feb 2025. Internal account never deprovisioned. Still has full T2 support access to customer data.</t>
        </is>
      </c>
    </row>
    <row r="44" ht="42" customHeight="1">
      <c r="A44" s="3" t="inlineStr">
        <is>
          <t>BRK-9001</t>
        </is>
      </c>
      <c r="B44" s="9" t="inlineStr">
        <is>
          <t>bg-emergency-01</t>
        </is>
      </c>
      <c r="C44" s="9" t="inlineStr">
        <is>
          <t>Break-Glass</t>
        </is>
      </c>
      <c r="D44" s="9" t="inlineStr">
        <is>
          <t>Security</t>
        </is>
      </c>
      <c r="E44" s="9" t="inlineStr">
        <is>
          <t>Level 6 — All Systems (Temp)</t>
        </is>
      </c>
      <c r="F44" s="5" t="inlineStr">
        <is>
          <t>Yes</t>
        </is>
      </c>
      <c r="G44" s="9" t="inlineStr">
        <is>
          <t>2025-04-18</t>
        </is>
      </c>
      <c r="H44" s="6" t="inlineStr">
        <is>
          <t>Active</t>
        </is>
      </c>
      <c r="I44" s="5" t="inlineStr">
        <is>
          <t>CLEAN</t>
        </is>
      </c>
      <c r="J44" s="10" t="inlineStr">
        <is>
          <t>Last use: incident INC-2025-0418. Session exceeded approved 4hr window by 6hrs — auto de-escalation not triggered. SEC-008.</t>
        </is>
      </c>
    </row>
    <row r="45" ht="42" customHeight="1">
      <c r="A45" s="3" t="inlineStr">
        <is>
          <t>BRK-9002</t>
        </is>
      </c>
      <c r="B45" s="4" t="inlineStr">
        <is>
          <t>bg-emergency-02</t>
        </is>
      </c>
      <c r="C45" s="4" t="inlineStr">
        <is>
          <t>Break-Glass</t>
        </is>
      </c>
      <c r="D45" s="4" t="inlineStr">
        <is>
          <t>Security</t>
        </is>
      </c>
      <c r="E45" s="4" t="inlineStr">
        <is>
          <t>Level 6 — All Systems (Temp)</t>
        </is>
      </c>
      <c r="F45" s="5" t="inlineStr">
        <is>
          <t>Yes</t>
        </is>
      </c>
      <c r="G45" s="4" t="inlineStr">
        <is>
          <t>2025-03-02</t>
        </is>
      </c>
      <c r="H45" s="6" t="inlineStr">
        <is>
          <t>Active</t>
        </is>
      </c>
      <c r="I45" s="5" t="inlineStr">
        <is>
          <t>CLEAN</t>
        </is>
      </c>
      <c r="J45" s="8" t="inlineStr">
        <is>
          <t>Last use: INC-2025-0302. Window overrun by 11hrs. Manual de-escalation performed next business day.</t>
        </is>
      </c>
    </row>
    <row r="48" ht="22" customHeight="1">
      <c r="A48" s="17" t="inlineStr">
        <is>
          <t>SUMMARY STATISTICS</t>
        </is>
      </c>
    </row>
    <row r="49" ht="18" customHeight="1">
      <c r="A49" s="18" t="inlineStr">
        <is>
          <t>Total Identities in Scope</t>
        </is>
      </c>
      <c r="B49" s="19">
        <f>COUNTA(A3:A45)</f>
        <v/>
      </c>
    </row>
    <row r="50" ht="18" customHeight="1">
      <c r="A50" s="18" t="inlineStr">
        <is>
          <t>Active Accounts</t>
        </is>
      </c>
      <c r="B50" s="19">
        <f>COUNTIF(H3:H45,"Active")</f>
        <v/>
      </c>
    </row>
    <row r="51" ht="18" customHeight="1">
      <c r="A51" s="18" t="inlineStr">
        <is>
          <t>Suspended Accounts</t>
        </is>
      </c>
      <c r="B51" s="19">
        <f>COUNTIF(H3:H45,"Suspended")</f>
        <v/>
      </c>
    </row>
    <row r="52" ht="18" customHeight="1">
      <c r="A52" s="18" t="inlineStr">
        <is>
          <t>MFA Enabled (Yes)</t>
        </is>
      </c>
      <c r="B52" s="19">
        <f>COUNTIF(F3:F45,"Yes")</f>
        <v/>
      </c>
    </row>
    <row r="53" ht="18" customHeight="1">
      <c r="A53" s="18" t="inlineStr">
        <is>
          <t>MFA Disabled / Exempt (No)</t>
        </is>
      </c>
      <c r="B53" s="19">
        <f>COUNTIF(F3:F45,"No")</f>
        <v/>
      </c>
    </row>
    <row r="54" ht="18" customHeight="1">
      <c r="A54" s="18" t="inlineStr">
        <is>
          <t>Critical Risk Flags</t>
        </is>
      </c>
      <c r="B54" s="19">
        <f>COUNTIF(I3:I45,"SHARED_ACCOUNT")+COUNTIF(I3:I45,"ORPHANED")+COUNTIF(I3:I45,"NO_MFA_ADMIN")</f>
        <v/>
      </c>
    </row>
    <row r="55" ht="18" customHeight="1">
      <c r="A55" s="18" t="inlineStr">
        <is>
          <t>High Risk Flags</t>
        </is>
      </c>
      <c r="B55" s="19">
        <f>COUNTIF(I3:I45,"STALE_CREDS")+COUNTIF(I3:I45,"ROLE_CREEP")+COUNTIF(I3:I45,"OVER_PRIVILEGED")</f>
        <v/>
      </c>
    </row>
    <row r="56" ht="18" customHeight="1">
      <c r="A56" s="18" t="inlineStr">
        <is>
          <t>Medium Risk Flags</t>
        </is>
      </c>
      <c r="B56" s="19">
        <f>COUNTIF(I3:I45,"MFA_EXEMPT")+COUNTIF(I3:I45,"INACTIVE")</f>
        <v/>
      </c>
    </row>
    <row r="57" ht="18" customHeight="1">
      <c r="A57" s="18" t="inlineStr">
        <is>
          <t>Clean (No Issues)</t>
        </is>
      </c>
      <c r="B57" s="19">
        <f>COUNTIF(I3:I45,"CLEAN")</f>
        <v/>
      </c>
    </row>
    <row r="58" ht="18" customHeight="1">
      <c r="A58" s="18" t="inlineStr">
        <is>
          <t>Shared Accounts (Critical)</t>
        </is>
      </c>
      <c r="B58" s="19">
        <f>COUNTIF(I3:I45,"SHARED_ACCOUNT")</f>
        <v/>
      </c>
    </row>
    <row r="59" ht="18" customHeight="1">
      <c r="A59" s="18" t="inlineStr">
        <is>
          <t>Orphaned / Terminated Accts</t>
        </is>
      </c>
      <c r="B59" s="19">
        <f>COUNTIF(I3:I45,"ORPHANED")</f>
        <v/>
      </c>
    </row>
    <row r="60" ht="18" customHeight="1">
      <c r="A60" s="18" t="inlineStr">
        <is>
          <t>Stale Credentials</t>
        </is>
      </c>
      <c r="B60" s="19">
        <f>COUNTIF(I3:I45,"STALE_CREDS")</f>
        <v/>
      </c>
    </row>
  </sheetData>
  <mergeCells count="14">
    <mergeCell ref="A1:J1"/>
    <mergeCell ref="A58"/>
    <mergeCell ref="A50"/>
    <mergeCell ref="A56"/>
    <mergeCell ref="A53"/>
    <mergeCell ref="A48:D48"/>
    <mergeCell ref="A55"/>
    <mergeCell ref="A59"/>
    <mergeCell ref="A57"/>
    <mergeCell ref="A54"/>
    <mergeCell ref="A49"/>
    <mergeCell ref="A51"/>
    <mergeCell ref="A52"/>
    <mergeCell ref="A6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showGridLines="0" workbookViewId="0">
      <selection activeCell="A1" sqref="A1"/>
    </sheetView>
  </sheetViews>
  <sheetFormatPr baseColWidth="8" defaultRowHeight="15"/>
  <cols>
    <col width="26" customWidth="1" min="1" max="1"/>
    <col width="14" customWidth="1" min="2" max="2"/>
    <col width="18" customWidth="1" min="3" max="3"/>
    <col width="14" customWidth="1" min="4" max="4"/>
    <col width="14" customWidth="1" min="5" max="5"/>
    <col width="32" customWidth="1" min="6" max="6"/>
  </cols>
  <sheetData>
    <row r="1" ht="28" customHeight="1">
      <c r="A1" s="20" t="inlineStr">
        <is>
          <t>NovaPay IAM — Risk Dashboard  |  Q2 2025</t>
        </is>
      </c>
    </row>
    <row r="2" ht="28" customHeight="1">
      <c r="A2" s="21" t="inlineStr">
        <is>
          <t>Risk Category</t>
        </is>
      </c>
      <c r="B2" s="21" t="inlineStr">
        <is>
          <t>Count</t>
        </is>
      </c>
      <c r="C2" s="21" t="inlineStr">
        <is>
          <t>Affected IDs (Sample)</t>
        </is>
      </c>
      <c r="D2" s="21" t="inlineStr">
        <is>
          <t>Severity</t>
        </is>
      </c>
      <c r="E2" s="21" t="inlineStr">
        <is>
          <t>Priority</t>
        </is>
      </c>
      <c r="F2" s="21" t="inlineStr">
        <is>
          <t>Remediation Owner</t>
        </is>
      </c>
    </row>
    <row r="3" ht="30" customHeight="1">
      <c r="A3" s="22" t="inlineStr">
        <is>
          <t>Shared Accounts (No MFA/SSO)</t>
        </is>
      </c>
      <c r="B3" s="23" t="n">
        <v>3</v>
      </c>
      <c r="C3" s="8" t="inlineStr">
        <is>
          <t>SHR-7001, SHR-7002, SHR-7003</t>
        </is>
      </c>
      <c r="D3" s="11" t="inlineStr">
        <is>
          <t>CRITICAL</t>
        </is>
      </c>
      <c r="E3" s="8" t="inlineStr">
        <is>
          <t>P1 — Immediate</t>
        </is>
      </c>
      <c r="F3" s="8" t="inlineStr">
        <is>
          <t>Security Eng + IAM Team</t>
        </is>
      </c>
    </row>
    <row r="4" ht="30" customHeight="1">
      <c r="A4" s="24" t="inlineStr">
        <is>
          <t>Stale API / DB Credentials</t>
        </is>
      </c>
      <c r="B4" s="25" t="n">
        <v>5</v>
      </c>
      <c r="C4" s="10" t="inlineStr">
        <is>
          <t>SVC-6001 (312d), SVC-6005 (187d)+3</t>
        </is>
      </c>
      <c r="D4" s="11" t="inlineStr">
        <is>
          <t>CRITICAL</t>
        </is>
      </c>
      <c r="E4" s="10" t="inlineStr">
        <is>
          <t>P1 — Immediate</t>
        </is>
      </c>
      <c r="F4" s="10" t="inlineStr">
        <is>
          <t>Platform Engineering</t>
        </is>
      </c>
    </row>
    <row r="5" ht="30" customHeight="1">
      <c r="A5" s="22" t="inlineStr">
        <is>
          <t>Orphaned / Terminated Accounts</t>
        </is>
      </c>
      <c r="B5" s="23" t="n">
        <v>3</v>
      </c>
      <c r="C5" s="8" t="inlineStr">
        <is>
          <t>USR-8001, USR-8002, USR-8003</t>
        </is>
      </c>
      <c r="D5" s="11" t="inlineStr">
        <is>
          <t>CRITICAL</t>
        </is>
      </c>
      <c r="E5" s="8" t="inlineStr">
        <is>
          <t>P1 — Immediate</t>
        </is>
      </c>
      <c r="F5" s="8" t="inlineStr">
        <is>
          <t>IT / IAM + HR Ops</t>
        </is>
      </c>
    </row>
    <row r="6" ht="30" customHeight="1">
      <c r="A6" s="24" t="inlineStr">
        <is>
          <t>Admin Without MFA</t>
        </is>
      </c>
      <c r="B6" s="25" t="n">
        <v>1</v>
      </c>
      <c r="C6" s="10" t="inlineStr">
        <is>
          <t>USR-2005 (Finance Manager)</t>
        </is>
      </c>
      <c r="D6" s="11" t="inlineStr">
        <is>
          <t>CRITICAL</t>
        </is>
      </c>
      <c r="E6" s="10" t="inlineStr">
        <is>
          <t>P1 — Immediate</t>
        </is>
      </c>
      <c r="F6" s="10" t="inlineStr">
        <is>
          <t>IAM Team + CISO</t>
        </is>
      </c>
    </row>
    <row r="7" ht="30" customHeight="1">
      <c r="A7" s="22" t="inlineStr">
        <is>
          <t>Role Creep (Eng Lead Group)</t>
        </is>
      </c>
      <c r="B7" s="23" t="n">
        <v>3</v>
      </c>
      <c r="C7" s="8" t="inlineStr">
        <is>
          <t>USR-1001, USR-1004, USR-1008</t>
        </is>
      </c>
      <c r="D7" s="7" t="inlineStr">
        <is>
          <t>HIGH</t>
        </is>
      </c>
      <c r="E7" s="8" t="inlineStr">
        <is>
          <t>P2 — This Sprint</t>
        </is>
      </c>
      <c r="F7" s="8" t="inlineStr">
        <is>
          <t>Engineering Mgmt</t>
        </is>
      </c>
    </row>
    <row r="8" ht="30" customHeight="1">
      <c r="A8" s="24" t="inlineStr">
        <is>
          <t>MFA Exemptions Expired</t>
        </is>
      </c>
      <c r="B8" s="25" t="n">
        <v>5</v>
      </c>
      <c r="C8" s="10" t="inlineStr">
        <is>
          <t>USR-1005, USR-3002, USR-4003+2</t>
        </is>
      </c>
      <c r="D8" s="7" t="inlineStr">
        <is>
          <t>HIGH</t>
        </is>
      </c>
      <c r="E8" s="10" t="inlineStr">
        <is>
          <t>P2 — This Sprint</t>
        </is>
      </c>
      <c r="F8" s="10" t="inlineStr">
        <is>
          <t>IT Helpdesk + IAM</t>
        </is>
      </c>
    </row>
    <row r="9" ht="30" customHeight="1">
      <c r="A9" s="22" t="inlineStr">
        <is>
          <t>Inactive Active Accounts</t>
        </is>
      </c>
      <c r="B9" s="23" t="n">
        <v>3</v>
      </c>
      <c r="C9" s="8" t="inlineStr">
        <is>
          <t>USR-1007 (166d), USR-3003 (61d)+1</t>
        </is>
      </c>
      <c r="D9" s="7" t="inlineStr">
        <is>
          <t>HIGH</t>
        </is>
      </c>
      <c r="E9" s="8" t="inlineStr">
        <is>
          <t>P2 — This Sprint</t>
        </is>
      </c>
      <c r="F9" s="8" t="inlineStr">
        <is>
          <t>HR + IT / IAM</t>
        </is>
      </c>
    </row>
    <row r="10" ht="30" customHeight="1">
      <c r="A10" s="24" t="inlineStr">
        <is>
          <t>Over-Privileged Users</t>
        </is>
      </c>
      <c r="B10" s="25" t="n">
        <v>1</v>
      </c>
      <c r="C10" s="10" t="inlineStr">
        <is>
          <t>USR-2003 (Admin Dash edit rights)</t>
        </is>
      </c>
      <c r="D10" s="7" t="inlineStr">
        <is>
          <t>HIGH</t>
        </is>
      </c>
      <c r="E10" s="10" t="inlineStr">
        <is>
          <t>P2 — This Sprint</t>
        </is>
      </c>
      <c r="F10" s="10" t="inlineStr">
        <is>
          <t>Finance Mgmt + IAM</t>
        </is>
      </c>
    </row>
    <row r="11" ht="30" customHeight="1">
      <c r="A11" s="22" t="inlineStr">
        <is>
          <t>No PAM / Session Recording</t>
        </is>
      </c>
      <c r="B11" s="23" t="n">
        <v>3</v>
      </c>
      <c r="C11" s="8" t="inlineStr">
        <is>
          <t>SHR-7001, SHR-7002, SHR-7003</t>
        </is>
      </c>
      <c r="D11" s="7" t="inlineStr">
        <is>
          <t>HIGH</t>
        </is>
      </c>
      <c r="E11" s="8" t="inlineStr">
        <is>
          <t>P2 — This Sprint</t>
        </is>
      </c>
      <c r="F11" s="8" t="inlineStr">
        <is>
          <t>Security Engineering</t>
        </is>
      </c>
    </row>
    <row r="12" ht="30" customHeight="1">
      <c r="A12" s="24" t="inlineStr">
        <is>
          <t>Break-Glass Overrun Windows</t>
        </is>
      </c>
      <c r="B12" s="25" t="n">
        <v>2</v>
      </c>
      <c r="C12" s="10" t="inlineStr">
        <is>
          <t>BRK-9001 (+6hrs), BRK-9002 (+11hrs)</t>
        </is>
      </c>
      <c r="D12" s="26" t="inlineStr">
        <is>
          <t>MEDIUM</t>
        </is>
      </c>
      <c r="E12" s="10" t="inlineStr">
        <is>
          <t>P3 — 30 Days</t>
        </is>
      </c>
      <c r="F12" s="10" t="inlineStr">
        <is>
          <t>Security Ops</t>
        </is>
      </c>
    </row>
    <row r="13" ht="30" customHeight="1">
      <c r="A13" s="22" t="inlineStr">
        <is>
          <t>VPN Split-Tunnel (DLP bypass)</t>
        </is>
      </c>
      <c r="B13" s="23" t="inlineStr">
        <is>
          <t>—</t>
        </is>
      </c>
      <c r="C13" s="8" t="inlineStr">
        <is>
          <t>All remote Engineering / Finance</t>
        </is>
      </c>
      <c r="D13" s="7" t="inlineStr">
        <is>
          <t>HIGH</t>
        </is>
      </c>
      <c r="E13" s="8" t="inlineStr">
        <is>
          <t>P2 — This Sprint</t>
        </is>
      </c>
      <c r="F13" s="8" t="inlineStr">
        <is>
          <t>Network + Security Eng</t>
        </is>
      </c>
    </row>
    <row r="14" ht="30" customHeight="1">
      <c r="A14" s="24" t="inlineStr">
        <is>
          <t>No VPN for Support T1</t>
        </is>
      </c>
      <c r="B14" s="25" t="n">
        <v>5</v>
      </c>
      <c r="C14" s="10" t="inlineStr">
        <is>
          <t>USR-4003, USR-4004, USR-4007+2</t>
        </is>
      </c>
      <c r="D14" s="26" t="inlineStr">
        <is>
          <t>MEDIUM</t>
        </is>
      </c>
      <c r="E14" s="10" t="inlineStr">
        <is>
          <t>P3 — 30 Days</t>
        </is>
      </c>
      <c r="F14" s="10" t="inlineStr">
        <is>
          <t>Support Mgmt + IT</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showGridLines="0" workbookViewId="0">
      <selection activeCell="A1" sqref="A1"/>
    </sheetView>
  </sheetViews>
  <sheetFormatPr baseColWidth="8" defaultRowHeight="15"/>
  <cols>
    <col width="18" customWidth="1" min="1" max="1"/>
    <col width="20" customWidth="1" min="2" max="2"/>
    <col width="20" customWidth="1" min="3" max="3"/>
    <col width="20" customWidth="1" min="4" max="4"/>
    <col width="20" customWidth="1" min="5" max="5"/>
    <col width="20" customWidth="1" min="6" max="6"/>
  </cols>
  <sheetData>
    <row r="1" ht="26" customHeight="1">
      <c r="A1" s="1" t="inlineStr">
        <is>
          <t>NovaPay — Department × System Access Matrix</t>
        </is>
      </c>
    </row>
    <row r="2" ht="26" customHeight="1">
      <c r="A2" s="27" t="inlineStr">
        <is>
          <t>Department</t>
        </is>
      </c>
      <c r="B2" s="27" t="inlineStr">
        <is>
          <t>Web App</t>
        </is>
      </c>
      <c r="C2" s="27" t="inlineStr">
        <is>
          <t>AWS Cloud</t>
        </is>
      </c>
      <c r="D2" s="27" t="inlineStr">
        <is>
          <t>Admin Dashboard</t>
        </is>
      </c>
      <c r="E2" s="27" t="inlineStr">
        <is>
          <t>VPN</t>
        </is>
      </c>
      <c r="F2" s="27" t="inlineStr">
        <is>
          <t>Database</t>
        </is>
      </c>
    </row>
    <row r="3" ht="22" customHeight="1">
      <c r="A3" s="28" t="inlineStr">
        <is>
          <t>Engineering</t>
        </is>
      </c>
      <c r="B3" s="29" t="inlineStr">
        <is>
          <t>Read/Write</t>
        </is>
      </c>
      <c r="C3" s="29" t="inlineStr">
        <is>
          <t>Write (Dev/Stg)</t>
        </is>
      </c>
      <c r="D3" s="30" t="inlineStr">
        <is>
          <t>Read</t>
        </is>
      </c>
      <c r="E3" s="31" t="inlineStr">
        <is>
          <t>Full</t>
        </is>
      </c>
      <c r="F3" s="30" t="inlineStr">
        <is>
          <t>Read (Dev)</t>
        </is>
      </c>
    </row>
    <row r="4" ht="22" customHeight="1">
      <c r="A4" s="32" t="inlineStr">
        <is>
          <t>Finance</t>
        </is>
      </c>
      <c r="B4" s="30" t="inlineStr">
        <is>
          <t>Read (Fin)</t>
        </is>
      </c>
      <c r="C4" s="33" t="inlineStr">
        <is>
          <t>None</t>
        </is>
      </c>
      <c r="D4" s="29" t="inlineStr">
        <is>
          <t>Read/Write</t>
        </is>
      </c>
      <c r="E4" s="31" t="inlineStr">
        <is>
          <t>Full</t>
        </is>
      </c>
      <c r="F4" s="33" t="inlineStr">
        <is>
          <t>None</t>
        </is>
      </c>
    </row>
    <row r="5" ht="22" customHeight="1">
      <c r="A5" s="28" t="inlineStr">
        <is>
          <t>HR</t>
        </is>
      </c>
      <c r="B5" s="30" t="inlineStr">
        <is>
          <t>Read (HR)</t>
        </is>
      </c>
      <c r="C5" s="33" t="inlineStr">
        <is>
          <t>None</t>
        </is>
      </c>
      <c r="D5" s="30" t="inlineStr">
        <is>
          <t>Read (HR)</t>
        </is>
      </c>
      <c r="E5" s="31" t="inlineStr">
        <is>
          <t>Full</t>
        </is>
      </c>
      <c r="F5" s="33" t="inlineStr">
        <is>
          <t>None</t>
        </is>
      </c>
    </row>
    <row r="6" ht="22" customHeight="1">
      <c r="A6" s="32" t="inlineStr">
        <is>
          <t>Support</t>
        </is>
      </c>
      <c r="B6" s="31" t="inlineStr">
        <is>
          <t>Full</t>
        </is>
      </c>
      <c r="C6" s="33" t="inlineStr">
        <is>
          <t>None</t>
        </is>
      </c>
      <c r="D6" s="30" t="inlineStr">
        <is>
          <t>Read</t>
        </is>
      </c>
      <c r="E6" s="33" t="inlineStr">
        <is>
          <t>None (T1 office)</t>
        </is>
      </c>
      <c r="F6" s="33" t="inlineStr">
        <is>
          <t>None</t>
        </is>
      </c>
    </row>
    <row r="7" ht="22" customHeight="1">
      <c r="A7" s="28" t="inlineStr">
        <is>
          <t>Security</t>
        </is>
      </c>
      <c r="B7" s="30" t="inlineStr">
        <is>
          <t>Read</t>
        </is>
      </c>
      <c r="C7" s="30" t="inlineStr">
        <is>
          <t>Read (Audit)</t>
        </is>
      </c>
      <c r="D7" s="31" t="inlineStr">
        <is>
          <t>Full</t>
        </is>
      </c>
      <c r="E7" s="31" t="inlineStr">
        <is>
          <t>Full</t>
        </is>
      </c>
      <c r="F7" s="30" t="inlineStr">
        <is>
          <t>Read (Audit)</t>
        </is>
      </c>
    </row>
    <row r="8" ht="22" customHeight="1">
      <c r="A8" s="32" t="inlineStr">
        <is>
          <t>Svc Accounts</t>
        </is>
      </c>
      <c r="B8" s="34" t="inlineStr">
        <is>
          <t>API Only</t>
        </is>
      </c>
      <c r="C8" s="34" t="inlineStr">
        <is>
          <t>Scoped Role</t>
        </is>
      </c>
      <c r="D8" s="33" t="inlineStr">
        <is>
          <t>None</t>
        </is>
      </c>
      <c r="E8" s="33" t="inlineStr">
        <is>
          <t>None</t>
        </is>
      </c>
      <c r="F8" s="30" t="inlineStr">
        <is>
          <t>Read (Schema)</t>
        </is>
      </c>
    </row>
    <row r="11" ht="18" customHeight="1">
      <c r="A11" s="35" t="inlineStr">
        <is>
          <t>Access Level Legend</t>
        </is>
      </c>
    </row>
    <row r="12" ht="16" customHeight="1">
      <c r="A12" s="36" t="inlineStr">
        <is>
          <t>Full</t>
        </is>
      </c>
      <c r="B12" s="37" t="inlineStr">
        <is>
          <t>Complete unrestricted access — highest risk tier</t>
        </is>
      </c>
    </row>
    <row r="13" ht="16" customHeight="1">
      <c r="A13" s="38" t="inlineStr">
        <is>
          <t>Read/Write / Write</t>
        </is>
      </c>
      <c r="B13" s="37" t="inlineStr">
        <is>
          <t>Can create and modify records or resources</t>
        </is>
      </c>
    </row>
    <row r="14" ht="16" customHeight="1">
      <c r="A14" s="39" t="inlineStr">
        <is>
          <t>Read (scoped)</t>
        </is>
      </c>
      <c r="B14" s="37" t="inlineStr">
        <is>
          <t>Read-only within defined scope</t>
        </is>
      </c>
    </row>
    <row r="15" ht="16" customHeight="1">
      <c r="A15" s="40" t="inlineStr">
        <is>
          <t>API Only / Scoped Role</t>
        </is>
      </c>
      <c r="B15" s="37" t="inlineStr">
        <is>
          <t>Non-human service account access</t>
        </is>
      </c>
    </row>
    <row r="16" ht="16" customHeight="1">
      <c r="A16" s="41" t="inlineStr">
        <is>
          <t>None</t>
        </is>
      </c>
      <c r="B16" s="37" t="inlineStr">
        <is>
          <t>No access granted to this system</t>
        </is>
      </c>
    </row>
  </sheetData>
  <mergeCells count="2">
    <mergeCell ref="A11:B1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7"/>
  <sheetViews>
    <sheetView showGridLines="0" workbookViewId="0">
      <pane ySplit="3" topLeftCell="A4" activePane="bottomLeft" state="frozen"/>
      <selection pane="bottomLeft" activeCell="A1" sqref="A1"/>
    </sheetView>
  </sheetViews>
  <sheetFormatPr baseColWidth="8" defaultRowHeight="15"/>
  <cols>
    <col width="10" customWidth="1" min="1" max="1"/>
    <col width="22" customWidth="1" min="2" max="2"/>
    <col width="40" customWidth="1" min="3" max="3"/>
    <col width="26" customWidth="1" min="4" max="4"/>
    <col width="24" customWidth="1" min="5" max="5"/>
    <col width="14" customWidth="1" min="6" max="6"/>
    <col width="36" customWidth="1" min="7" max="7"/>
    <col width="28" customWidth="1" min="8" max="8"/>
    <col width="11" customWidth="1" min="9" max="9"/>
    <col width="10" customWidth="1" min="10" max="10"/>
    <col width="11" customWidth="1" min="11" max="11"/>
    <col width="12" customWidth="1" min="12" max="12"/>
    <col width="20" customWidth="1" min="13" max="13"/>
    <col width="14" customWidth="1" min="14" max="14"/>
    <col width="42" customWidth="1" min="15" max="15"/>
    <col width="22" customWidth="1" min="16" max="16"/>
    <col width="13" customWidth="1" min="17" max="17"/>
    <col width="13" customWidth="1" min="18" max="18"/>
  </cols>
  <sheetData>
    <row r="1" ht="26" customHeight="1">
      <c r="A1" s="1" t="inlineStr">
        <is>
          <t>NovaPay Financial Technologies — IAM Risk Assessment  |  CIA Triad Mapping  |  Q2 2025  |  CONFIDENTIAL</t>
        </is>
      </c>
    </row>
    <row r="2" ht="18" customHeight="1">
      <c r="A2" s="42" t="inlineStr">
        <is>
          <t>Risk Score = Likelihood × Impact   |   Score 9 = CRITICAL  |  Score 4–6 = HIGH  |  Score 2–3 = MEDIUM  |  Score 1 = LOW   |   CIA: C = Confidentiality  ·  I = Integrity  ·  A = Availability</t>
        </is>
      </c>
    </row>
    <row r="3" ht="32" customHeight="1">
      <c r="A3" s="43" t="inlineStr">
        <is>
          <t>Risk ID</t>
        </is>
      </c>
      <c r="B3" s="43" t="inlineStr">
        <is>
          <t>Risk Category</t>
        </is>
      </c>
      <c r="C3" s="43" t="inlineStr">
        <is>
          <t>Risk Description</t>
        </is>
      </c>
      <c r="D3" s="43" t="inlineStr">
        <is>
          <t>Affected Identities (Count)</t>
        </is>
      </c>
      <c r="E3" s="43" t="inlineStr">
        <is>
          <t>Affected Systems</t>
        </is>
      </c>
      <c r="F3" s="43" t="inlineStr">
        <is>
          <t>CIA Triad Impact</t>
        </is>
      </c>
      <c r="G3" s="43" t="inlineStr">
        <is>
          <t>CIA Rationale</t>
        </is>
      </c>
      <c r="H3" s="43" t="inlineStr">
        <is>
          <t>Threat Vector</t>
        </is>
      </c>
      <c r="I3" s="43" t="inlineStr">
        <is>
          <t>Likelihood</t>
        </is>
      </c>
      <c r="J3" s="43" t="inlineStr">
        <is>
          <t>Impact</t>
        </is>
      </c>
      <c r="K3" s="43" t="inlineStr">
        <is>
          <t>Risk Score</t>
        </is>
      </c>
      <c r="L3" s="43" t="inlineStr">
        <is>
          <t>Risk Level</t>
        </is>
      </c>
      <c r="M3" s="43" t="inlineStr">
        <is>
          <t>Regulatory Ref</t>
        </is>
      </c>
      <c r="N3" s="43" t="inlineStr">
        <is>
          <t>Remediation Priority</t>
        </is>
      </c>
      <c r="O3" s="43" t="inlineStr">
        <is>
          <t>Remediation Action</t>
        </is>
      </c>
      <c r="P3" s="43" t="inlineStr">
        <is>
          <t>Owner</t>
        </is>
      </c>
      <c r="Q3" s="43" t="inlineStr">
        <is>
          <t>Status</t>
        </is>
      </c>
      <c r="R3" s="43" t="inlineStr">
        <is>
          <t>Finding Ref</t>
        </is>
      </c>
    </row>
    <row r="4" ht="60" customHeight="1">
      <c r="A4" s="44" t="inlineStr">
        <is>
          <t>R-001</t>
        </is>
      </c>
      <c r="B4" s="45" t="inlineStr">
        <is>
          <t>Shared / Generic Accounts</t>
        </is>
      </c>
      <c r="C4" s="46" t="inlineStr">
        <is>
          <t>Three shared accounts (svc-ops-dash, admin-shared01, support-admin) bypass Okta SSO with static passwords unchanged for 400+ days. Multiple staff hold credentials; no MFA enforced; all actions non-attributable.</t>
        </is>
      </c>
      <c r="D4" s="46" t="inlineStr">
        <is>
          <t>SHR-7001, SHR-7002, SHR-7003 (3 identities)</t>
        </is>
      </c>
      <c r="E4" s="46" t="inlineStr">
        <is>
          <t>Admin Dashboard</t>
        </is>
      </c>
      <c r="F4" s="47" t="inlineStr">
        <is>
          <t>C,I</t>
        </is>
      </c>
      <c r="G4" s="46" t="inlineStr">
        <is>
          <t>C: Unattributable access to merchant PII and financial data. I: Transaction overrides and fee waivers can be performed without individual accountability — integrity of audit log compromised.</t>
        </is>
      </c>
      <c r="H4" s="46" t="inlineStr">
        <is>
          <t>Insider threat / credential sharing; credential stuffing using leaked static passwords; no detection capability due to absent session recording.</t>
        </is>
      </c>
      <c r="I4" s="48" t="inlineStr">
        <is>
          <t>High</t>
        </is>
      </c>
      <c r="J4" s="48" t="inlineStr">
        <is>
          <t>High</t>
        </is>
      </c>
      <c r="K4" s="49" t="n">
        <v>9</v>
      </c>
      <c r="L4" s="48" t="inlineStr">
        <is>
          <t>CRITICAL</t>
        </is>
      </c>
      <c r="M4" s="46" t="inlineStr">
        <is>
          <t>PCI-DSS / SOC2 / FFIEC</t>
        </is>
      </c>
      <c r="N4" s="48" t="inlineStr">
        <is>
          <t>P1 — Immediate (&lt; 7 days)</t>
        </is>
      </c>
      <c r="O4" s="46" t="inlineStr">
        <is>
          <t>1) Disable shared accounts immediately. 2) Provision named accounts for all current users. 3) Enforce Okta SSO + FIDO2 MFA. 4) Deploy PAM session recording. 5) Rotate all Admin Dashboard secrets.</t>
        </is>
      </c>
      <c r="P4" s="46" t="inlineStr">
        <is>
          <t>IAM Team + Security Eng</t>
        </is>
      </c>
      <c r="Q4" s="50" t="inlineStr">
        <is>
          <t>Open</t>
        </is>
      </c>
      <c r="R4" s="44" t="inlineStr">
        <is>
          <t>SEC-001</t>
        </is>
      </c>
    </row>
    <row r="5" ht="60" customHeight="1">
      <c r="A5" s="44" t="inlineStr">
        <is>
          <t>R-002</t>
        </is>
      </c>
      <c r="B5" s="51" t="inlineStr">
        <is>
          <t>Stale Credentials — Service Account (Payment API)</t>
        </is>
      </c>
      <c r="C5" s="52" t="inlineStr">
        <is>
          <t>svc-payment-processor API key unrotated for 312 days (3.5× policy threshold). Key is embedded in Vault but lease has expired. Account holds payment initiation permissions.</t>
        </is>
      </c>
      <c r="D5" s="52" t="inlineStr">
        <is>
          <t>SVC-6001 (1 identity)</t>
        </is>
      </c>
      <c r="E5" s="52" t="inlineStr">
        <is>
          <t>Web App — Payment API; AWS IAM</t>
        </is>
      </c>
      <c r="F5" s="47" t="inlineStr">
        <is>
          <t>C,I</t>
        </is>
      </c>
      <c r="G5" s="52" t="inlineStr">
        <is>
          <t>C: Compromised key exposes payment API calls and transaction data. I: Attacker could initiate fraudulent payment transactions using valid service credentials — direct financial fraud vector.</t>
        </is>
      </c>
      <c r="H5" s="52" t="inlineStr">
        <is>
          <t>Credential leak via historical code repo exposure, CI/CD log scraping, or insider exfiltration. Long window of exposure amplifies blast radius.</t>
        </is>
      </c>
      <c r="I5" s="48" t="inlineStr">
        <is>
          <t>High</t>
        </is>
      </c>
      <c r="J5" s="48" t="inlineStr">
        <is>
          <t>High</t>
        </is>
      </c>
      <c r="K5" s="49" t="n">
        <v>9</v>
      </c>
      <c r="L5" s="48" t="inlineStr">
        <is>
          <t>CRITICAL</t>
        </is>
      </c>
      <c r="M5" s="52" t="inlineStr">
        <is>
          <t>PCI-DSS / SOC2 / FFIEC</t>
        </is>
      </c>
      <c r="N5" s="48" t="inlineStr">
        <is>
          <t>P1 — Immediate (&lt; 7 days)</t>
        </is>
      </c>
      <c r="O5" s="52" t="inlineStr">
        <is>
          <t>1) Rotate API key immediately via Vault. 2) Audit all recent API calls for anomalies. 3) Enforce Vault dynamic secrets with 24hr TTL. 4) Add rotation check to CI/CD pipeline gate.</t>
        </is>
      </c>
      <c r="P5" s="52" t="inlineStr">
        <is>
          <t>Platform Engineering</t>
        </is>
      </c>
      <c r="Q5" s="50" t="inlineStr">
        <is>
          <t>Open</t>
        </is>
      </c>
      <c r="R5" s="44" t="inlineStr">
        <is>
          <t>SEC-005</t>
        </is>
      </c>
    </row>
    <row r="6" ht="60" customHeight="1">
      <c r="A6" s="44" t="inlineStr">
        <is>
          <t>R-003</t>
        </is>
      </c>
      <c r="B6" s="45" t="inlineStr">
        <is>
          <t>Stale Credentials — Staging DB with PAN Data</t>
        </is>
      </c>
      <c r="C6" s="46" t="inlineStr">
        <is>
          <t>svc-db-staging-rw static credentials unrotated 187 days; embedded in 6 developer ~/.pgpass files and 2 CI environment variable stores. Staging DB contains real cardholder PAN data due to failed anonymisation pipeline.</t>
        </is>
      </c>
      <c r="D6" s="46" t="inlineStr">
        <is>
          <t>SVC-6005 (1 identity + 6 devs with credential copies)</t>
        </is>
      </c>
      <c r="E6" s="46" t="inlineStr">
        <is>
          <t>Database — Staging; AWS RDS Aurora</t>
        </is>
      </c>
      <c r="F6" s="47" t="inlineStr">
        <is>
          <t>C,I</t>
        </is>
      </c>
      <c r="G6" s="46" t="inlineStr">
        <is>
          <t>C: Real PAN data in staging constitutes PCI-DSS breach exposure — cardholder data accessible to all Senior Devs. I: Staging DB write access could corrupt pre-prod data used for release validation.</t>
        </is>
      </c>
      <c r="H6" s="46" t="inlineStr">
        <is>
          <t>Credential harvest from developer endpoints or CI environment variables. Wide credential distribution (8 locations) makes rotation complex and increases leak probability.</t>
        </is>
      </c>
      <c r="I6" s="48" t="inlineStr">
        <is>
          <t>High</t>
        </is>
      </c>
      <c r="J6" s="48" t="inlineStr">
        <is>
          <t>High</t>
        </is>
      </c>
      <c r="K6" s="49" t="n">
        <v>9</v>
      </c>
      <c r="L6" s="48" t="inlineStr">
        <is>
          <t>CRITICAL</t>
        </is>
      </c>
      <c r="M6" s="46" t="inlineStr">
        <is>
          <t>PCI-DSS / SOC2 / FFIEC</t>
        </is>
      </c>
      <c r="N6" s="48" t="inlineStr">
        <is>
          <t>P1 — Immediate (&lt; 7 days)</t>
        </is>
      </c>
      <c r="O6" s="46" t="inlineStr">
        <is>
          <t>1) Rotate DB credentials immediately. 2) Re-run anonymisation pipeline on staging — verify PAN data removed. 3) Enforce Vault dynamic DB credentials (15min TTL). 4) Remove ~/.pgpass files from all dev machines. 5) Raise PCI-DSS incident ticket.</t>
        </is>
      </c>
      <c r="P6" s="46" t="inlineStr">
        <is>
          <t>Platform Eng + DBA + Compliance</t>
        </is>
      </c>
      <c r="Q6" s="50" t="inlineStr">
        <is>
          <t>Open</t>
        </is>
      </c>
      <c r="R6" s="44" t="inlineStr">
        <is>
          <t>SEC-002</t>
        </is>
      </c>
    </row>
    <row r="7" ht="60" customHeight="1">
      <c r="A7" s="44" t="inlineStr">
        <is>
          <t>R-004</t>
        </is>
      </c>
      <c r="B7" s="51" t="inlineStr">
        <is>
          <t>Orphaned Account — Terminated Employee (Active)</t>
        </is>
      </c>
      <c r="C7" s="52" t="inlineStr">
        <is>
          <t>USR-8001 (Chris Alderton) terminated 2025-01-15 per HR records. Account remains Active with valid AWS IAM permissions and Developer (Senior) access to staging infrastructure. Account has not been used since 2025-01-08 but was never disabled.</t>
        </is>
      </c>
      <c r="D7" s="52" t="inlineStr">
        <is>
          <t>USR-8001 (1 identity)</t>
        </is>
      </c>
      <c r="E7" s="52" t="inlineStr">
        <is>
          <t>Web App; AWS Cloud (Dev/Staging); VPN</t>
        </is>
      </c>
      <c r="F7" s="47" t="inlineStr">
        <is>
          <t>C,I</t>
        </is>
      </c>
      <c r="G7" s="52" t="inlineStr">
        <is>
          <t>C: Former employee retains access to source code, staging infrastructure, and internal tooling. I: Malicious or accidental use of active credentials by terminated employee could modify systems with no current justification.</t>
        </is>
      </c>
      <c r="H7" s="52" t="inlineStr">
        <is>
          <t>Disgruntled former employee revenge access; credential reuse from prior access; external actor exploiting known-valid credentials post-termination.</t>
        </is>
      </c>
      <c r="I7" s="48" t="inlineStr">
        <is>
          <t>High</t>
        </is>
      </c>
      <c r="J7" s="48" t="inlineStr">
        <is>
          <t>High</t>
        </is>
      </c>
      <c r="K7" s="49" t="n">
        <v>9</v>
      </c>
      <c r="L7" s="48" t="inlineStr">
        <is>
          <t>CRITICAL</t>
        </is>
      </c>
      <c r="M7" s="52" t="inlineStr">
        <is>
          <t>PCI-DSS / SOC2 / FFIEC</t>
        </is>
      </c>
      <c r="N7" s="48" t="inlineStr">
        <is>
          <t>P1 — Immediate (&lt; 7 days)</t>
        </is>
      </c>
      <c r="O7" s="52" t="inlineStr">
        <is>
          <t>1) Disable USR-8001 in Okta immediately. 2) Revoke all AWS IAM role assignments. 3) Audit login history Jan 8–present for suspicious activity. 4) Review offboarding workflow — add HR-to-IT automated trigger. 5) Invalidate all active sessions.</t>
        </is>
      </c>
      <c r="P7" s="52" t="inlineStr">
        <is>
          <t>IT / IAM + HR Ops</t>
        </is>
      </c>
      <c r="Q7" s="50" t="inlineStr">
        <is>
          <t>Open</t>
        </is>
      </c>
      <c r="R7" s="44" t="inlineStr">
        <is>
          <t>SEC-008</t>
        </is>
      </c>
    </row>
    <row r="8" ht="60" customHeight="1">
      <c r="A8" s="44" t="inlineStr">
        <is>
          <t>R-005</t>
        </is>
      </c>
      <c r="B8" s="45" t="inlineStr">
        <is>
          <t>Orphaned Account — Contractor (Suspended, IAM Residue)</t>
        </is>
      </c>
      <c r="C8" s="46" t="inlineStr">
        <is>
          <t>USR-8002 (Justine Moreau) contractor ended Oct 2024. Okta account suspended but AWS IAM role attachment not removed. Okta licence seat still active (cost + attack surface). Suspended ≠ deprovisioned.</t>
        </is>
      </c>
      <c r="D8" s="46" t="inlineStr">
        <is>
          <t>USR-8002 (1 identity)</t>
        </is>
      </c>
      <c r="E8" s="46" t="inlineStr">
        <is>
          <t>AWS Cloud; Web App (residual)</t>
        </is>
      </c>
      <c r="F8" s="53" t="inlineStr">
        <is>
          <t>C</t>
        </is>
      </c>
      <c r="G8" s="46" t="inlineStr">
        <is>
          <t>C: Residual AWS IAM role attachment could be re-activated if Okta account is accidentally re-enabled. IAM permissions persist independently of Okta suspension status — gap between IdP and downstream systems.</t>
        </is>
      </c>
      <c r="H8" s="46" t="inlineStr">
        <is>
          <t>Accidental re-enablement by IT admin; IAM role re-attachment by engineer unaware of contractor status; audit finding escalated during PCI QSA review.</t>
        </is>
      </c>
      <c r="I8" s="50" t="inlineStr">
        <is>
          <t>Medium</t>
        </is>
      </c>
      <c r="J8" s="48" t="inlineStr">
        <is>
          <t>High</t>
        </is>
      </c>
      <c r="K8" s="49" t="n">
        <v>6</v>
      </c>
      <c r="L8" s="48" t="inlineStr">
        <is>
          <t>CRITICAL</t>
        </is>
      </c>
      <c r="M8" s="46" t="inlineStr">
        <is>
          <t>PCI-DSS / SOC2 / FFIEC</t>
        </is>
      </c>
      <c r="N8" s="50" t="inlineStr">
        <is>
          <t>P2 — Within 14 days</t>
        </is>
      </c>
      <c r="O8" s="46" t="inlineStr">
        <is>
          <t>1) Remove all AWS IAM role attachments for USR-8002. 2) Delete Okta account (not suspend). 3) Revoke any API keys or tokens associated with identity. 4) Release Okta licence seat. 5) Add to deprovisioning checklist.</t>
        </is>
      </c>
      <c r="P8" s="46" t="inlineStr">
        <is>
          <t>IT / IAM</t>
        </is>
      </c>
      <c r="Q8" s="50" t="inlineStr">
        <is>
          <t>Open</t>
        </is>
      </c>
      <c r="R8" s="44" t="inlineStr">
        <is>
          <t>SEC-008</t>
        </is>
      </c>
    </row>
    <row r="9" ht="60" customHeight="1">
      <c r="A9" s="44" t="inlineStr">
        <is>
          <t>R-006</t>
        </is>
      </c>
      <c r="B9" s="51" t="inlineStr">
        <is>
          <t>Orphaned Account — Internal Transfer (Access Not Revoked)</t>
        </is>
      </c>
      <c r="C9" s="52" t="inlineStr">
        <is>
          <t>USR-8003 (Nonso Eze) transferred to partner organisation Feb 2025. Internal account active with full Support T2 access to customer data (PII, transaction history). No deprovisioning triggered by transfer event.</t>
        </is>
      </c>
      <c r="D9" s="52" t="inlineStr">
        <is>
          <t>USR-8003 (1 identity)</t>
        </is>
      </c>
      <c r="E9" s="52" t="inlineStr">
        <is>
          <t>Web App; Admin Dashboard (Read)</t>
        </is>
      </c>
      <c r="F9" s="53" t="inlineStr">
        <is>
          <t>C</t>
        </is>
      </c>
      <c r="G9" s="52" t="inlineStr">
        <is>
          <t>C: External party (partner org employee) retains access to NovaPay customer PII and transaction data — potential data protection and contractual breach. Third-party data access without active NDA/DPA in place.</t>
        </is>
      </c>
      <c r="H9" s="52" t="inlineStr">
        <is>
          <t>Unauthorised data access for competitive intelligence; data exfiltration to partner org; regulatory breach (state privacy laws, PCI-DSS requirement 7).</t>
        </is>
      </c>
      <c r="I9" s="48" t="inlineStr">
        <is>
          <t>High</t>
        </is>
      </c>
      <c r="J9" s="48" t="inlineStr">
        <is>
          <t>High</t>
        </is>
      </c>
      <c r="K9" s="49" t="n">
        <v>9</v>
      </c>
      <c r="L9" s="48" t="inlineStr">
        <is>
          <t>CRITICAL</t>
        </is>
      </c>
      <c r="M9" s="52" t="inlineStr">
        <is>
          <t>PCI-DSS / SOC2 / FFIEC</t>
        </is>
      </c>
      <c r="N9" s="48" t="inlineStr">
        <is>
          <t>P1 — Immediate (&lt; 7 days)</t>
        </is>
      </c>
      <c r="O9" s="52" t="inlineStr">
        <is>
          <t>1) Disable USR-8003 immediately. 2) Audit access logs for any activity post-transfer date (2025-02-28). 3) Review transfer/offboarding process — add 'internal transfer' as a deprovisioning trigger. 4) Notify Legal if data was accessed post-transfer.</t>
        </is>
      </c>
      <c r="P9" s="52" t="inlineStr">
        <is>
          <t>IT / IAM + Legal</t>
        </is>
      </c>
      <c r="Q9" s="50" t="inlineStr">
        <is>
          <t>Open</t>
        </is>
      </c>
      <c r="R9" s="44" t="inlineStr">
        <is>
          <t>SEC-008</t>
        </is>
      </c>
    </row>
    <row r="10" ht="60" customHeight="1">
      <c r="A10" s="44" t="inlineStr">
        <is>
          <t>R-007</t>
        </is>
      </c>
      <c r="B10" s="45" t="inlineStr">
        <is>
          <t>Admin Account Without MFA</t>
        </is>
      </c>
      <c r="C10" s="46" t="inlineStr">
        <is>
          <t>USR-2005 (Nadia Petrov, Finance Manager) holds Level 4 Read/Write access to Finance systems and Admin Dashboard. MFA exemption ticket #HD-4102 expired 2025-03-01. Escalation to CISO on record — no action taken in 45+ days.</t>
        </is>
      </c>
      <c r="D10" s="46" t="inlineStr">
        <is>
          <t>USR-2005 (1 identity)</t>
        </is>
      </c>
      <c r="E10" s="46" t="inlineStr">
        <is>
          <t>Admin Dashboard; Web App (Finance); VPN</t>
        </is>
      </c>
      <c r="F10" s="47" t="inlineStr">
        <is>
          <t>C,I</t>
        </is>
      </c>
      <c r="G10" s="46" t="inlineStr">
        <is>
          <t>C: Finance Manager access to merchant accounts and financial records protected only by password. I: Finance Manager can approve transactions and modify financial records — compromise enables fraudulent approvals without MFA gate.</t>
        </is>
      </c>
      <c r="H10" s="46" t="inlineStr">
        <is>
          <t>Password spray / credential stuffing against Finance Manager; phishing targeting finance staff (high-value target); brute force of static password.</t>
        </is>
      </c>
      <c r="I10" s="48" t="inlineStr">
        <is>
          <t>High</t>
        </is>
      </c>
      <c r="J10" s="48" t="inlineStr">
        <is>
          <t>High</t>
        </is>
      </c>
      <c r="K10" s="49" t="n">
        <v>9</v>
      </c>
      <c r="L10" s="48" t="inlineStr">
        <is>
          <t>CRITICAL</t>
        </is>
      </c>
      <c r="M10" s="46" t="inlineStr">
        <is>
          <t>PCI-DSS / SOC2 / FFIEC</t>
        </is>
      </c>
      <c r="N10" s="48" t="inlineStr">
        <is>
          <t>P1 — Immediate (&lt; 7 days)</t>
        </is>
      </c>
      <c r="O10" s="46" t="inlineStr">
        <is>
          <t>1) Enforce MFA immediately — suspend access until enrolled. 2) Escalate to CISO with SLA for resolution. 3) Audit all Finance Manager actions since exemption lapse. 4) Establish formal risk acceptance process with mandatory CISO sign-off for future exemptions.</t>
        </is>
      </c>
      <c r="P10" s="46" t="inlineStr">
        <is>
          <t>IAM Team + CISO</t>
        </is>
      </c>
      <c r="Q10" s="50" t="inlineStr">
        <is>
          <t>Open</t>
        </is>
      </c>
      <c r="R10" s="44" t="inlineStr">
        <is>
          <t>SEC-006</t>
        </is>
      </c>
    </row>
    <row r="11" ht="60" customHeight="1">
      <c r="A11" s="44" t="inlineStr">
        <is>
          <t>R-008</t>
        </is>
      </c>
      <c r="B11" s="51" t="inlineStr">
        <is>
          <t>Role Creep — Unrevoked Engineering Lead Permissions</t>
        </is>
      </c>
      <c r="C11" s="52" t="inlineStr">
        <is>
          <t>3 Developer (Senior) accounts (USR-1001, USR-1004, USR-1008) retain Engineering Lead Okta group membership from Mar 2024 restructure. Grants elevated Write access to staging infrastructure and broader AWS permissions beyond current job function.</t>
        </is>
      </c>
      <c r="D11" s="52" t="inlineStr">
        <is>
          <t>USR-1001, USR-1004, USR-1008 (3 identities)</t>
        </is>
      </c>
      <c r="E11" s="52" t="inlineStr">
        <is>
          <t>AWS Cloud (Staging); Web App; VPN</t>
        </is>
      </c>
      <c r="F11" s="54" t="inlineStr">
        <is>
          <t>I,A</t>
        </is>
      </c>
      <c r="G11" s="52" t="inlineStr">
        <is>
          <t>I: Excess write permissions to staging infra could allow unintended or malicious modification of pre-release code or infrastructure config. A: Overprivileged accounts increase blast radius of credential compromise — attacker gains staging infra write access.</t>
        </is>
      </c>
      <c r="H11" s="52" t="inlineStr">
        <is>
          <t>Credential compromise of any of the 3 accounts yields higher-than-expected blast radius. Insider misuse of retained permissions for privilege escalation or sabotage.</t>
        </is>
      </c>
      <c r="I11" s="50" t="inlineStr">
        <is>
          <t>Medium</t>
        </is>
      </c>
      <c r="J11" s="48" t="inlineStr">
        <is>
          <t>High</t>
        </is>
      </c>
      <c r="K11" s="49" t="n">
        <v>6</v>
      </c>
      <c r="L11" s="48" t="inlineStr">
        <is>
          <t>CRITICAL</t>
        </is>
      </c>
      <c r="M11" s="52" t="inlineStr">
        <is>
          <t>PCI-DSS / SOC2 / FFIEC</t>
        </is>
      </c>
      <c r="N11" s="50" t="inlineStr">
        <is>
          <t>P2 — Within 14 days</t>
        </is>
      </c>
      <c r="O11" s="52" t="inlineStr">
        <is>
          <t>1) Remove Engineering Lead Okta group from USR-1001, USR-1004, USR-1008. 2) Re-provision with correct Developer (Senior) role only. 3) Run full access certification for Engineering dept. 4) Enforce SailPoint risky-role detection rule for group membership mismatches.</t>
        </is>
      </c>
      <c r="P11" s="52" t="inlineStr">
        <is>
          <t>Engineering Mgmt + IAM</t>
        </is>
      </c>
      <c r="Q11" s="50" t="inlineStr">
        <is>
          <t>Open</t>
        </is>
      </c>
      <c r="R11" s="44" t="inlineStr">
        <is>
          <t>SEC-004</t>
        </is>
      </c>
    </row>
    <row r="12" ht="60" customHeight="1">
      <c r="A12" s="44" t="inlineStr">
        <is>
          <t>R-009</t>
        </is>
      </c>
      <c r="B12" s="45" t="inlineStr">
        <is>
          <t>Over-Privileged User — Finance Analyst with Admin Edit Rights</t>
        </is>
      </c>
      <c r="C12" s="46" t="inlineStr">
        <is>
          <t>USR-2003 (Yuki Tanaka, Finance Analyst) incorrectly provisioned with Admin Dashboard edit rights during onboarding. RBAC matrix specifies Finance Analysts as Read-only on Admin Dashboard. Provisioning error undetected in quarterly cert.</t>
        </is>
      </c>
      <c r="D12" s="46" t="inlineStr">
        <is>
          <t>USR-2003 (1 identity)</t>
        </is>
      </c>
      <c r="E12" s="46" t="inlineStr">
        <is>
          <t>Admin Dashboard</t>
        </is>
      </c>
      <c r="F12" s="54" t="inlineStr">
        <is>
          <t>I</t>
        </is>
      </c>
      <c r="G12" s="46" t="inlineStr">
        <is>
          <t>I: Finance Analyst with edit rights can modify operational records, transaction data, or system configuration beyond their role scope — undermines maker-checker integrity control in Finance workflow.</t>
        </is>
      </c>
      <c r="H12" s="46" t="inlineStr">
        <is>
          <t>Accidental data modification by user unaware of excess rights; insider abuse of edit access to manipulate records; audit finding during QSA PCI-DSS review.</t>
        </is>
      </c>
      <c r="I12" s="50" t="inlineStr">
        <is>
          <t>Medium</t>
        </is>
      </c>
      <c r="J12" s="50" t="inlineStr">
        <is>
          <t>Medium</t>
        </is>
      </c>
      <c r="K12" s="55" t="n">
        <v>4</v>
      </c>
      <c r="L12" s="50" t="inlineStr">
        <is>
          <t>HIGH</t>
        </is>
      </c>
      <c r="M12" s="46" t="inlineStr">
        <is>
          <t>PCI-DSS / SOC2 / FFIEC</t>
        </is>
      </c>
      <c r="N12" s="50" t="inlineStr">
        <is>
          <t>P2 — Within 14 days</t>
        </is>
      </c>
      <c r="O12" s="46" t="inlineStr">
        <is>
          <t>1) Remove Admin Dashboard edit rights from USR-2003. 2) Re-provision with Read-only Finance Analyst role. 3) Review all Finance Analyst accounts for similar provisioning errors. 4) Add RBAC matrix validation step to onboarding checklist.</t>
        </is>
      </c>
      <c r="P12" s="46" t="inlineStr">
        <is>
          <t>Finance Mgmt + IAM</t>
        </is>
      </c>
      <c r="Q12" s="50" t="inlineStr">
        <is>
          <t>Open</t>
        </is>
      </c>
      <c r="R12" s="44" t="inlineStr">
        <is>
          <t>SEC-004</t>
        </is>
      </c>
    </row>
    <row r="13" ht="60" customHeight="1">
      <c r="A13" s="44" t="inlineStr">
        <is>
          <t>R-010</t>
        </is>
      </c>
      <c r="B13" s="51" t="inlineStr">
        <is>
          <t>MFA Exemptions — Expired / Unenforced (5 Accounts)</t>
        </is>
      </c>
      <c r="C13" s="52" t="inlineStr">
        <is>
          <t>5 human accounts (USR-1005, USR-3002, USR-4003, USR-4004, USR-4007) have active MFA exemptions ranging from 45–125 days old. Policy mandates 30-day expiry with CISO re-approval. USR-4007 (Support T2) accesses customer PII without MFA.</t>
        </is>
      </c>
      <c r="D13" s="52" t="inlineStr">
        <is>
          <t>USR-1005, USR-3002, USR-4003, USR-4004, USR-4007 (5 identities)</t>
        </is>
      </c>
      <c r="E13" s="52" t="inlineStr">
        <is>
          <t>Web App; VPN; HR Systems</t>
        </is>
      </c>
      <c r="F13" s="53" t="inlineStr">
        <is>
          <t>C</t>
        </is>
      </c>
      <c r="G13" s="52" t="inlineStr">
        <is>
          <t>C: MFA-exempt accounts accessing customer PII (USR-4007), HR data (USR-3002), and source code (USR-1005) are protected by password alone. Single-factor breach exposes sensitive data with no second gate.</t>
        </is>
      </c>
      <c r="H13" s="52" t="inlineStr">
        <is>
          <t>Phishing campaign against support/HR staff (common target); credential stuffing of breached password lists; password spray exploiting weak or reused passwords.</t>
        </is>
      </c>
      <c r="I13" s="48" t="inlineStr">
        <is>
          <t>High</t>
        </is>
      </c>
      <c r="J13" s="50" t="inlineStr">
        <is>
          <t>Medium</t>
        </is>
      </c>
      <c r="K13" s="49" t="n">
        <v>6</v>
      </c>
      <c r="L13" s="48" t="inlineStr">
        <is>
          <t>CRITICAL</t>
        </is>
      </c>
      <c r="M13" s="52" t="inlineStr">
        <is>
          <t>PCI-DSS / SOC2 / FFIEC</t>
        </is>
      </c>
      <c r="N13" s="50" t="inlineStr">
        <is>
          <t>P2 — Within 14 days</t>
        </is>
      </c>
      <c r="O13" s="52" t="inlineStr">
        <is>
          <t>1) Revoke all expired MFA exemptions immediately — require re-enrolment. 2) Block access for non-compliant accounts until MFA enrolled. 3) Establish formal exemption process: written justification + CISO approval + 30-day auto-expiry in Okta. 4) Prioritise USR-4007 given PII access.</t>
        </is>
      </c>
      <c r="P13" s="52" t="inlineStr">
        <is>
          <t>IT Helpdesk + IAM + CISO</t>
        </is>
      </c>
      <c r="Q13" s="50" t="inlineStr">
        <is>
          <t>Open</t>
        </is>
      </c>
      <c r="R13" s="44" t="inlineStr">
        <is>
          <t>SEC-006</t>
        </is>
      </c>
    </row>
    <row r="14" ht="60" customHeight="1">
      <c r="A14" s="44" t="inlineStr">
        <is>
          <t>R-011</t>
        </is>
      </c>
      <c r="B14" s="45" t="inlineStr">
        <is>
          <t>Inactive Accounts — No Suspension (3 Accounts)</t>
        </is>
      </c>
      <c r="C14" s="46" t="inlineStr">
        <is>
          <t>3 accounts inactive for 61–166 days (USR-1007: 166 days, USR-4006: 161 days, USR-3003: 61 days) remain Active status. Policy threshold for review is 90 days. USR-1007 retains Dev Senior write access to staging; USR-4006 was flagged as possible ghost account.</t>
        </is>
      </c>
      <c r="D14" s="46" t="inlineStr">
        <is>
          <t>USR-1007, USR-4006, USR-3003 (3 identities)</t>
        </is>
      </c>
      <c r="E14" s="46" t="inlineStr">
        <is>
          <t>Web App; AWS Cloud (Staging); HR Systems</t>
        </is>
      </c>
      <c r="F14" s="53" t="inlineStr">
        <is>
          <t>C,A</t>
        </is>
      </c>
      <c r="G14" s="46" t="inlineStr">
        <is>
          <t>C: Dormant accounts with valid credentials are invisible attack vectors — compromise goes undetected due to no activity baseline. A: Inactive accounts never trigger anomaly detection; attacker-controlled dormant account provides persistent low-noise access.</t>
        </is>
      </c>
      <c r="H14" s="46" t="inlineStr">
        <is>
          <t>Attacker using dormant valid credentials acquired via prior breach (no recent activity to trigger anomaly detection); ghost account exploited for persistent access by insider or external threat.</t>
        </is>
      </c>
      <c r="I14" s="50" t="inlineStr">
        <is>
          <t>Medium</t>
        </is>
      </c>
      <c r="J14" s="50" t="inlineStr">
        <is>
          <t>Medium</t>
        </is>
      </c>
      <c r="K14" s="55" t="n">
        <v>4</v>
      </c>
      <c r="L14" s="50" t="inlineStr">
        <is>
          <t>HIGH</t>
        </is>
      </c>
      <c r="M14" s="46" t="inlineStr">
        <is>
          <t>PCI-DSS / SOC2 / FFIEC</t>
        </is>
      </c>
      <c r="N14" s="44" t="inlineStr">
        <is>
          <t>P3 — Within 30 days</t>
        </is>
      </c>
      <c r="O14" s="46" t="inlineStr">
        <is>
          <t>1) Suspend USR-1007 and USR-4006 immediately (&gt;90 day threshold exceeded). 2) Confirm USR-3003 leave status with HR — suspend if unconfirmed. 3) Enforce automated 90-day inactivity suspension in Okta. 4) Audit inactive account list quarterly.</t>
        </is>
      </c>
      <c r="P14" s="46" t="inlineStr">
        <is>
          <t>IT / IAM + HR Ops</t>
        </is>
      </c>
      <c r="Q14" s="50" t="inlineStr">
        <is>
          <t>Open</t>
        </is>
      </c>
      <c r="R14" s="44" t="inlineStr">
        <is>
          <t>SEC-003</t>
        </is>
      </c>
    </row>
    <row r="15" ht="60" customHeight="1">
      <c r="A15" s="44" t="inlineStr">
        <is>
          <t>R-012</t>
        </is>
      </c>
      <c r="B15" s="51" t="inlineStr">
        <is>
          <t>Stale Credentials — Non-Payment Service Accounts (3 Accounts)</t>
        </is>
      </c>
      <c r="C15" s="52" t="inlineStr">
        <is>
          <t>SVC-6002 (201 days), SVC-6003 (194 days), SVC-6004 (188 days) exceed 90-day rotation policy. SVC-6004 is a partially decommissioned service with unclear active use — unknown attack surface.</t>
        </is>
      </c>
      <c r="D15" s="52" t="inlineStr">
        <is>
          <t>SVC-6002, SVC-6003, SVC-6004 (3 identities)</t>
        </is>
      </c>
      <c r="E15" s="52" t="inlineStr">
        <is>
          <t>Web App APIs; AWS IAM; Finance BI connector</t>
        </is>
      </c>
      <c r="F15" s="47" t="inlineStr">
        <is>
          <t>C,I</t>
        </is>
      </c>
      <c r="G15" s="52" t="inlineStr">
        <is>
          <t>C: Long-lived API keys increase probability of credential exposure via log files, error messages, or historical repo commits. I: SVC-6004 unknown decommission status — writes to an unclear scope with stale credentials, unpredictable data integrity impact.</t>
        </is>
      </c>
      <c r="H15" s="52" t="inlineStr">
        <is>
          <t>API key exposure via application logs, error responses, or historical Git commits. SVC-6004 represents unknown-scope write access — dead-code execution risk.</t>
        </is>
      </c>
      <c r="I15" s="50" t="inlineStr">
        <is>
          <t>Medium</t>
        </is>
      </c>
      <c r="J15" s="50" t="inlineStr">
        <is>
          <t>Medium</t>
        </is>
      </c>
      <c r="K15" s="55" t="n">
        <v>4</v>
      </c>
      <c r="L15" s="50" t="inlineStr">
        <is>
          <t>HIGH</t>
        </is>
      </c>
      <c r="M15" s="52" t="inlineStr">
        <is>
          <t>PCI-DSS / SOC2 / FFIEC</t>
        </is>
      </c>
      <c r="N15" s="50" t="inlineStr">
        <is>
          <t>P2 — Within 14 days</t>
        </is>
      </c>
      <c r="O15" s="52" t="inlineStr">
        <is>
          <t>1) Rotate SVC-6002 and SVC-6003 API keys via HashiCorp Vault. 2) Audit SVC-6004 usage — if unused, revoke immediately and delete service account. 3) Enforce Vault dynamic leases for all service accounts. 4) Add rotation SLA to CI/CD pipeline alerts.</t>
        </is>
      </c>
      <c r="P15" s="52" t="inlineStr">
        <is>
          <t>Platform Engineering</t>
        </is>
      </c>
      <c r="Q15" s="50" t="inlineStr">
        <is>
          <t>Open</t>
        </is>
      </c>
      <c r="R15" s="44" t="inlineStr">
        <is>
          <t>SEC-005</t>
        </is>
      </c>
    </row>
    <row r="16" ht="60" customHeight="1">
      <c r="A16" s="44" t="inlineStr">
        <is>
          <t>R-013</t>
        </is>
      </c>
      <c r="B16" s="45" t="inlineStr">
        <is>
          <t>No PAM / Session Recording on Admin Dashboard</t>
        </is>
      </c>
      <c r="C16" s="46" t="inlineStr">
        <is>
          <t>Admin Dashboard privileged actions (transaction overrides, account freezes, fee waivers) are not routed through a PAM solution. Application-layer logs capture action type but not full session context. Shared accounts (R-001) further eliminate individual attribution.</t>
        </is>
      </c>
      <c r="D16" s="46" t="inlineStr">
        <is>
          <t>SHR-7001, SHR-7002, SHR-7003 + all named Admin users (10+ identities)</t>
        </is>
      </c>
      <c r="E16" s="46" t="inlineStr">
        <is>
          <t>Admin Dashboard</t>
        </is>
      </c>
      <c r="F16" s="54" t="inlineStr">
        <is>
          <t>I</t>
        </is>
      </c>
      <c r="G16" s="46" t="inlineStr">
        <is>
          <t>I: Without session recording, integrity of privileged actions cannot be forensically verified. Insider threat incidents, regulatory audits, and incident response investigations are severely limited — 'who did what' cannot be answered.</t>
        </is>
      </c>
      <c r="H16" s="46" t="inlineStr">
        <is>
          <t>Insider manipulation of transaction records or account balances without forensic traceability. Regulatory audit failure — PCI-DSS requirement 10 mandates logging of all individual access to cardholder data.</t>
        </is>
      </c>
      <c r="I16" s="50" t="inlineStr">
        <is>
          <t>Medium</t>
        </is>
      </c>
      <c r="J16" s="48" t="inlineStr">
        <is>
          <t>High</t>
        </is>
      </c>
      <c r="K16" s="49" t="n">
        <v>6</v>
      </c>
      <c r="L16" s="48" t="inlineStr">
        <is>
          <t>CRITICAL</t>
        </is>
      </c>
      <c r="M16" s="46" t="inlineStr">
        <is>
          <t>PCI-DSS / SOC2 / FFIEC</t>
        </is>
      </c>
      <c r="N16" s="50" t="inlineStr">
        <is>
          <t>P2 — Within 14 days</t>
        </is>
      </c>
      <c r="O16" s="46" t="inlineStr">
        <is>
          <t>1) Deploy PAM solution (CyberArk / BeyondTrust) as proxy for all Admin Dashboard access. 2) Enforce session recording for admin-level and shared accounts. 3) Feed session recordings to SIEM. 4) Set 90-day log retention aligned to PCI-DSS requirement 10.</t>
        </is>
      </c>
      <c r="P16" s="46" t="inlineStr">
        <is>
          <t>Security Engineering</t>
        </is>
      </c>
      <c r="Q16" s="50" t="inlineStr">
        <is>
          <t>Open</t>
        </is>
      </c>
      <c r="R16" s="44" t="inlineStr">
        <is>
          <t>SEC-007</t>
        </is>
      </c>
    </row>
    <row r="17" ht="60" customHeight="1">
      <c r="A17" s="44" t="inlineStr">
        <is>
          <t>R-014</t>
        </is>
      </c>
      <c r="B17" s="51" t="inlineStr">
        <is>
          <t>VPN Split-Tunneling Bypasses DLP Controls</t>
        </is>
      </c>
      <c r="C17" s="52" t="inlineStr">
        <is>
          <t>GlobalProtect configured in split-tunnel mode — internet-bound traffic from remote Engineering and Finance endpoints is not routed through corporate DLP or proxy. Affected users have access to Restricted data (PAN, financial records, source code).</t>
        </is>
      </c>
      <c r="D17" s="52" t="inlineStr">
        <is>
          <t>All remote Engineering (65) + Finance (30) users = ~95 identities</t>
        </is>
      </c>
      <c r="E17" s="52" t="inlineStr">
        <is>
          <t>VPN; Web App; AWS Cloud</t>
        </is>
      </c>
      <c r="F17" s="53" t="inlineStr">
        <is>
          <t>C</t>
        </is>
      </c>
      <c r="G17" s="52" t="inlineStr">
        <is>
          <t>C: Source code, PAN data, and financial records can be exfiltrated to personal cloud storage (Dropbox, Google Drive) without detection. DLP controls are completely blind to remote worker traffic — data leakage undetectable and unblockable.</t>
        </is>
      </c>
      <c r="H17" s="52" t="inlineStr">
        <is>
          <t>Insider data exfiltration to personal cloud storage or external devices; malware on remote endpoint exfiltrating data via direct internet path without proxy inspection.</t>
        </is>
      </c>
      <c r="I17" s="50" t="inlineStr">
        <is>
          <t>Medium</t>
        </is>
      </c>
      <c r="J17" s="48" t="inlineStr">
        <is>
          <t>High</t>
        </is>
      </c>
      <c r="K17" s="49" t="n">
        <v>6</v>
      </c>
      <c r="L17" s="48" t="inlineStr">
        <is>
          <t>CRITICAL</t>
        </is>
      </c>
      <c r="M17" s="52" t="inlineStr">
        <is>
          <t>PCI-DSS / SOC2 / FFIEC</t>
        </is>
      </c>
      <c r="N17" s="50" t="inlineStr">
        <is>
          <t>P2 — Within 14 days</t>
        </is>
      </c>
      <c r="O17" s="52" t="inlineStr">
        <is>
          <t>1) Enable full-tunnel VPN for all users with Restricted data access (Engineering, Finance). 2) Implement CASB integration for cloud storage detection. 3) Deploy endpoint DLP agent as compensating control for remote workers. 4) Review and document any legitimate split-tunnel use cases.</t>
        </is>
      </c>
      <c r="P17" s="52" t="inlineStr">
        <is>
          <t>Network Eng + Security</t>
        </is>
      </c>
      <c r="Q17" s="50" t="inlineStr">
        <is>
          <t>Open</t>
        </is>
      </c>
      <c r="R17" s="44" t="inlineStr">
        <is>
          <t>SEC-003</t>
        </is>
      </c>
    </row>
    <row r="18" ht="60" customHeight="1">
      <c r="A18" s="44" t="inlineStr">
        <is>
          <t>R-015</t>
        </is>
      </c>
      <c r="B18" s="45" t="inlineStr">
        <is>
          <t>Break-Glass Account — Automated De-escalation Not Enforced</t>
        </is>
      </c>
      <c r="C18" s="46" t="inlineStr">
        <is>
          <t>BRK-9001 and BRK-9002 break-glass accounts overran approved 4-hour windows by 6 and 11 hours respectively in the last 12 months. De-escalation relies on manual step by on-call security engineer — no automated enforcement exists.</t>
        </is>
      </c>
      <c r="D18" s="46" t="inlineStr">
        <is>
          <t>BRK-9001, BRK-9002 (2 identities)</t>
        </is>
      </c>
      <c r="E18" s="46" t="inlineStr">
        <is>
          <t>All Systems (Level 6 access)</t>
        </is>
      </c>
      <c r="F18" s="47" t="inlineStr">
        <is>
          <t>C,I,A</t>
        </is>
      </c>
      <c r="G18" s="46" t="inlineStr">
        <is>
          <t>C: Super-admin break-glass access persisting beyond approved window exposes all systems to over-privileged access without active incident justification. I: Unconstrained break-glass access could modify production configs or data without incident-scoped justification. A: Abuse of break-glass could affect system availability.</t>
        </is>
      </c>
      <c r="H18" s="46" t="inlineStr">
        <is>
          <t>On-call engineer fatigue leading to missed de-escalation. Compromised break-glass credentials used during overrun window for lateral movement under cover of legitimate incident activity.</t>
        </is>
      </c>
      <c r="I18" s="56" t="inlineStr">
        <is>
          <t>Low</t>
        </is>
      </c>
      <c r="J18" s="48" t="inlineStr">
        <is>
          <t>High</t>
        </is>
      </c>
      <c r="K18" s="57" t="n">
        <v>3</v>
      </c>
      <c r="L18" s="44" t="inlineStr">
        <is>
          <t>MEDIUM</t>
        </is>
      </c>
      <c r="M18" s="46" t="inlineStr">
        <is>
          <t>PCI-DSS / SOC2 / FFIEC</t>
        </is>
      </c>
      <c r="N18" s="44" t="inlineStr">
        <is>
          <t>P3 — Within 30 days</t>
        </is>
      </c>
      <c r="O18" s="46" t="inlineStr">
        <is>
          <t>1) Implement AWS IAM session policy with hard 4-hour TTL for break-glass role assumption. 2) Configure Okta time-bounded group membership with automated removal. 3) Alert SIEM and security lead if break-glass session exceeds approved window. 4) Add post-incident review of break-glass usage as standard SOP step.</t>
        </is>
      </c>
      <c r="P18" s="46" t="inlineStr">
        <is>
          <t>Security Ops + IAM</t>
        </is>
      </c>
      <c r="Q18" s="50" t="inlineStr">
        <is>
          <t>Open</t>
        </is>
      </c>
      <c r="R18" s="44" t="inlineStr">
        <is>
          <t>SEC-008</t>
        </is>
      </c>
    </row>
    <row r="21" ht="22" customHeight="1">
      <c r="A21" s="58" t="inlineStr">
        <is>
          <t>RISK SUMMARY SCORECARD</t>
        </is>
      </c>
      <c r="G21" s="17" t="inlineStr">
        <is>
          <t>CIA DISTRIBUTION</t>
        </is>
      </c>
    </row>
    <row r="22" ht="18" customHeight="1">
      <c r="A22" s="59" t="inlineStr">
        <is>
          <t>CRITICAL Risks</t>
        </is>
      </c>
      <c r="B22" s="60" t="n">
        <v>11</v>
      </c>
      <c r="G22" s="61" t="inlineStr">
        <is>
          <t>Confidentiality (C) affected</t>
        </is>
      </c>
      <c r="H22" s="40" t="n">
        <v>12</v>
      </c>
    </row>
    <row r="23" ht="18" customHeight="1">
      <c r="A23" s="62" t="inlineStr">
        <is>
          <t>HIGH Risks</t>
        </is>
      </c>
      <c r="B23" s="63" t="n">
        <v>3</v>
      </c>
      <c r="G23" s="62" t="inlineStr">
        <is>
          <t>Integrity (I) affected</t>
        </is>
      </c>
      <c r="H23" s="63" t="n">
        <v>10</v>
      </c>
    </row>
    <row r="24" ht="18" customHeight="1">
      <c r="A24" s="64" t="inlineStr">
        <is>
          <t>MEDIUM Risks</t>
        </is>
      </c>
      <c r="B24" s="39" t="n">
        <v>1</v>
      </c>
      <c r="G24" s="64" t="inlineStr">
        <is>
          <t>Availability (A) affected</t>
        </is>
      </c>
      <c r="H24" s="39" t="n">
        <v>3</v>
      </c>
    </row>
    <row r="25" ht="18" customHeight="1">
      <c r="A25" s="65" t="inlineStr">
        <is>
          <t>LOW Risks</t>
        </is>
      </c>
      <c r="B25" s="66" t="n">
        <v>0</v>
      </c>
    </row>
    <row r="26" ht="18" customHeight="1">
      <c r="A26" s="67" t="inlineStr">
        <is>
          <t>Total Risks</t>
        </is>
      </c>
      <c r="B26" s="68" t="n">
        <v>15</v>
      </c>
    </row>
    <row r="27" ht="18" customHeight="1">
      <c r="A27" s="62" t="inlineStr">
        <is>
          <t>Open Findings</t>
        </is>
      </c>
      <c r="B27" s="63" t="n">
        <v>15</v>
      </c>
    </row>
  </sheetData>
  <mergeCells count="3">
    <mergeCell ref="A21:F21"/>
    <mergeCell ref="A2:R2"/>
    <mergeCell ref="A1:R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2026-04-28T10:40:35Z</dcterms:created>
  <dcterms:modified xmlns:dcterms="http://purl.org/dc/terms/" xmlns:xsi="http://www.w3.org/2001/XMLSchema-instance" xsi:type="dcterms:W3CDTF">2026-04-28T10:53:29Z</dcterms:modified>
</cp:coreProperties>
</file>