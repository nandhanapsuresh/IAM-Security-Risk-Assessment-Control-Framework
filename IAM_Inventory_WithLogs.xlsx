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s" sheetId="1" state="visible" r:id="rId3"/>
    <sheet name="Anomaly Analysis" sheetId="2" state="visible" r:id="rId4"/>
    <sheet name="IAM Identity Inventory" sheetId="3" state="visible" r:id="rId5"/>
    <sheet name="Risk Dashboard" sheetId="4" state="visible" r:id="rId6"/>
    <sheet name="Dept Access Matrix" sheetId="5" state="visible" r:id="rId7"/>
    <sheet name="Risk_Assessment" sheetId="6" state="visible" r:id="rId8"/>
  </sheets>
  <definedNames>
    <definedName function="false" hidden="true" localSheetId="0" name="_xlnm._FilterDatabase" vbProcedure="false">Logs!$A$2:$R$167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<sst xmlns="http://schemas.openxmlformats.org/spreadsheetml/2006/main" count="3439" uniqueCount="1031">
  <si>
    <t xml:space="preserve">NovaPay Financial Technologies  —  IAM Authentication Log  |  Period: 2025-05-01 to 2025-05-15  |  CONFIDENTIAL</t>
  </si>
  <si>
    <t xml:space="preserve">Event ID</t>
  </si>
  <si>
    <t xml:space="preserve">Timestamp</t>
  </si>
  <si>
    <t xml:space="preserve">User ID</t>
  </si>
  <si>
    <t xml:space="preserve">Full Name</t>
  </si>
  <si>
    <t xml:space="preserve">Role</t>
  </si>
  <si>
    <t xml:space="preserve">Department</t>
  </si>
  <si>
    <t xml:space="preserve">Event Type</t>
  </si>
  <si>
    <t xml:space="preserve">System</t>
  </si>
  <si>
    <t xml:space="preserve">Source IP</t>
  </si>
  <si>
    <t xml:space="preserve">Geo Location</t>
  </si>
  <si>
    <t xml:space="preserve">MFA Method</t>
  </si>
  <si>
    <t xml:space="preserve">MFA Result</t>
  </si>
  <si>
    <t xml:space="preserve">Failure Reason</t>
  </si>
  <si>
    <t xml:space="preserve">Privilege Action</t>
  </si>
  <si>
    <t xml:space="preserve">Anomaly Flag</t>
  </si>
  <si>
    <t xml:space="preserve">Risk Score</t>
  </si>
  <si>
    <t xml:space="preserve">Severity</t>
  </si>
  <si>
    <t xml:space="preserve">Analyst Notes</t>
  </si>
  <si>
    <t xml:space="preserve">EVT-1043</t>
  </si>
  <si>
    <t xml:space="preserve">2025-05-01 01:37:30</t>
  </si>
  <si>
    <t xml:space="preserve">USR-4001</t>
  </si>
  <si>
    <t xml:space="preserve">Isabel Santos</t>
  </si>
  <si>
    <t xml:space="preserve">Support Manager</t>
  </si>
  <si>
    <t xml:space="preserve">Support</t>
  </si>
  <si>
    <t xml:space="preserve">LOGIN_SUCCESS</t>
  </si>
  <si>
    <t xml:space="preserve">Okta SSO</t>
  </si>
  <si>
    <t xml:space="preserve">198.51.100.20</t>
  </si>
  <si>
    <t xml:space="preserve">Austin, TX</t>
  </si>
  <si>
    <t xml:space="preserve">TOTP</t>
  </si>
  <si>
    <t xml:space="preserve">PASS</t>
  </si>
  <si>
    <t xml:space="preserve">LOW</t>
  </si>
  <si>
    <t xml:space="preserve">EVT-1029</t>
  </si>
  <si>
    <t xml:space="preserve">2025-05-01 02:45:40</t>
  </si>
  <si>
    <t xml:space="preserve">USR-2003</t>
  </si>
  <si>
    <t xml:space="preserve">Yuki Tanaka</t>
  </si>
  <si>
    <t xml:space="preserve">Finance Analyst</t>
  </si>
  <si>
    <t xml:space="preserve">Finance</t>
  </si>
  <si>
    <t xml:space="preserve">Web App</t>
  </si>
  <si>
    <t xml:space="preserve">198.51.100.15</t>
  </si>
  <si>
    <t xml:space="preserve">EVT-1066</t>
  </si>
  <si>
    <t xml:space="preserve">2025-05-01 03:56:16</t>
  </si>
  <si>
    <t xml:space="preserve">SHR-7001</t>
  </si>
  <si>
    <t xml:space="preserve">svc-ops-dash</t>
  </si>
  <si>
    <t xml:space="preserve">Shared Account</t>
  </si>
  <si>
    <t xml:space="preserve">198.51.100.21</t>
  </si>
  <si>
    <t xml:space="preserve">FIDO2</t>
  </si>
  <si>
    <t xml:space="preserve">EVT-1163</t>
  </si>
  <si>
    <t xml:space="preserve">2025-05-01 07:18:45</t>
  </si>
  <si>
    <t xml:space="preserve">USR-5003</t>
  </si>
  <si>
    <t xml:space="preserve">James Obi</t>
  </si>
  <si>
    <t xml:space="preserve">Super-Admin</t>
  </si>
  <si>
    <t xml:space="preserve">Security</t>
  </si>
  <si>
    <t xml:space="preserve">PRIVILEGE_ESCALATION</t>
  </si>
  <si>
    <t xml:space="preserve">Admin Dashboard</t>
  </si>
  <si>
    <t xml:space="preserve">198.51.100.19</t>
  </si>
  <si>
    <t xml:space="preserve">BULK_EXPORT</t>
  </si>
  <si>
    <t xml:space="preserve">BREAK_GLASS_OVERRUN</t>
  </si>
  <si>
    <t xml:space="preserve">HIGH</t>
  </si>
  <si>
    <t xml:space="preserve">Bulk export of 2,300 merchant records during break-glass overrun session</t>
  </si>
  <si>
    <t xml:space="preserve">EVT-1111</t>
  </si>
  <si>
    <t xml:space="preserve">2025-05-01 08:24:20</t>
  </si>
  <si>
    <t xml:space="preserve">USR-5001</t>
  </si>
  <si>
    <t xml:space="preserve">Omar Farouk</t>
  </si>
  <si>
    <t xml:space="preserve">Security Analyst</t>
  </si>
  <si>
    <t xml:space="preserve">MFA_FAILURE</t>
  </si>
  <si>
    <t xml:space="preserve">FAIL</t>
  </si>
  <si>
    <t xml:space="preserve">TOTP_WRONG_CODE</t>
  </si>
  <si>
    <t xml:space="preserve">MFA code rejected — possible SIM-swap or TOTP desync</t>
  </si>
  <si>
    <t xml:space="preserve">EVT-1038</t>
  </si>
  <si>
    <t xml:space="preserve">2025-05-01 20:34:53</t>
  </si>
  <si>
    <t xml:space="preserve">USR-3001</t>
  </si>
  <si>
    <t xml:space="preserve">Chloe Dubois</t>
  </si>
  <si>
    <t xml:space="preserve">HR Specialist</t>
  </si>
  <si>
    <t xml:space="preserve">HR</t>
  </si>
  <si>
    <t xml:space="preserve">198.51.100.13</t>
  </si>
  <si>
    <t xml:space="preserve">EVT-1001</t>
  </si>
  <si>
    <t xml:space="preserve">2025-05-01 23:17:15</t>
  </si>
  <si>
    <t xml:space="preserve">USR-1001</t>
  </si>
  <si>
    <t xml:space="preserve">James Whitfield</t>
  </si>
  <si>
    <t xml:space="preserve">Developer (Senior)</t>
  </si>
  <si>
    <t xml:space="preserve">Engineering</t>
  </si>
  <si>
    <t xml:space="preserve">198.51.100.14</t>
  </si>
  <si>
    <t xml:space="preserve">EVT-1113</t>
  </si>
  <si>
    <t xml:space="preserve">2025-05-01 23:34:03</t>
  </si>
  <si>
    <t xml:space="preserve">FIDO2_TIMEOUT</t>
  </si>
  <si>
    <t xml:space="preserve">EVT-1058</t>
  </si>
  <si>
    <t xml:space="preserve">2025-05-02 02:56:44</t>
  </si>
  <si>
    <t xml:space="preserve">EVT-1003</t>
  </si>
  <si>
    <t xml:space="preserve">2025-05-02 06:14:32</t>
  </si>
  <si>
    <t xml:space="preserve">USR-1002</t>
  </si>
  <si>
    <t xml:space="preserve">Priya Nair</t>
  </si>
  <si>
    <t xml:space="preserve">Developer (Junior)</t>
  </si>
  <si>
    <t xml:space="preserve">198.51.100.12</t>
  </si>
  <si>
    <t xml:space="preserve">EVT-1154</t>
  </si>
  <si>
    <t xml:space="preserve">2025-05-02 07:07:35</t>
  </si>
  <si>
    <t xml:space="preserve">AWS Console</t>
  </si>
  <si>
    <t xml:space="preserve">198.51.100.23</t>
  </si>
  <si>
    <t xml:space="preserve">iam:AttachRolePolicy</t>
  </si>
  <si>
    <t xml:space="preserve">ROLE_CREEP_PRIV_ESC</t>
  </si>
  <si>
    <t xml:space="preserve">Attempted to attach AdministratorAccess policy to svc-payment-processor role</t>
  </si>
  <si>
    <t xml:space="preserve">EVT-1020</t>
  </si>
  <si>
    <t xml:space="preserve">2025-05-02 09:27:10</t>
  </si>
  <si>
    <t xml:space="preserve">USR-1008</t>
  </si>
  <si>
    <t xml:space="preserve">Aisha Mwangi</t>
  </si>
  <si>
    <t xml:space="preserve">VPN Portal</t>
  </si>
  <si>
    <t xml:space="preserve">EVT-1124</t>
  </si>
  <si>
    <t xml:space="preserve">2025-05-02 11:23:40</t>
  </si>
  <si>
    <t xml:space="preserve">USR-2005</t>
  </si>
  <si>
    <t xml:space="preserve">Nadia Petrov</t>
  </si>
  <si>
    <t xml:space="preserve">Finance Manager</t>
  </si>
  <si>
    <t xml:space="preserve">NONE</t>
  </si>
  <si>
    <t xml:space="preserve">BYPASSED</t>
  </si>
  <si>
    <t xml:space="preserve">EVT-1125</t>
  </si>
  <si>
    <t xml:space="preserve">2025-05-02 13:23:40</t>
  </si>
  <si>
    <t xml:space="preserve">199.87.154.255</t>
  </si>
  <si>
    <t xml:space="preserve">VPS - Panama City, PA</t>
  </si>
  <si>
    <t xml:space="preserve">IMPOSSIBLE_TRAVEL|GEO_ANOMALY</t>
  </si>
  <si>
    <t xml:space="preserve">Impossible travel: Austin TX login 11:23 then VPS - Panama City, PA at 13:23 — physically impossible</t>
  </si>
  <si>
    <t xml:space="preserve">EVT-1049</t>
  </si>
  <si>
    <t xml:space="preserve">2025-05-02 17:13:32</t>
  </si>
  <si>
    <t xml:space="preserve">USR-4002</t>
  </si>
  <si>
    <t xml:space="preserve">Kevin Oduya</t>
  </si>
  <si>
    <t xml:space="preserve">Support Agent (T2)</t>
  </si>
  <si>
    <t xml:space="preserve">EVT-1045</t>
  </si>
  <si>
    <t xml:space="preserve">2025-05-02 18:15:37</t>
  </si>
  <si>
    <t xml:space="preserve">EVT-1067</t>
  </si>
  <si>
    <t xml:space="preserve">2025-05-02 19:27:22</t>
  </si>
  <si>
    <t xml:space="preserve">198.51.100.17</t>
  </si>
  <si>
    <t xml:space="preserve">EVT-1142</t>
  </si>
  <si>
    <t xml:space="preserve">2025-05-02 21:12:20</t>
  </si>
  <si>
    <t xml:space="preserve">198.51.100.16</t>
  </si>
  <si>
    <t xml:space="preserve">EVT-1143</t>
  </si>
  <si>
    <t xml:space="preserve">2025-05-02 23:12:20</t>
  </si>
  <si>
    <t xml:space="preserve">194.165.16.11</t>
  </si>
  <si>
    <t xml:space="preserve">VPS - Lagos, NG</t>
  </si>
  <si>
    <t xml:space="preserve">Impossible travel: Austin TX login 21:12 then VPS - Lagos, NG at 23:12 — physically impossible</t>
  </si>
  <si>
    <t xml:space="preserve">EVT-1022</t>
  </si>
  <si>
    <t xml:space="preserve">2025-05-03 11:48:10</t>
  </si>
  <si>
    <t xml:space="preserve">EVT-1115</t>
  </si>
  <si>
    <t xml:space="preserve">2025-05-03 15:42:07</t>
  </si>
  <si>
    <t xml:space="preserve">EVT-1017</t>
  </si>
  <si>
    <t xml:space="preserve">2025-05-03 16:31:05</t>
  </si>
  <si>
    <t xml:space="preserve">USR-1006</t>
  </si>
  <si>
    <t xml:space="preserve">Tanya Kovacs</t>
  </si>
  <si>
    <t xml:space="preserve">Infra Admin</t>
  </si>
  <si>
    <t xml:space="preserve">EVT-1148</t>
  </si>
  <si>
    <t xml:space="preserve">2025-05-03 19:55:48</t>
  </si>
  <si>
    <t xml:space="preserve">USR-8003</t>
  </si>
  <si>
    <t xml:space="preserve">Nonso Eze</t>
  </si>
  <si>
    <t xml:space="preserve">198.51.100.10</t>
  </si>
  <si>
    <t xml:space="preserve">EVT-1149</t>
  </si>
  <si>
    <t xml:space="preserve">2025-05-03 20:55:48</t>
  </si>
  <si>
    <t xml:space="preserve">LOGIN_SUCCESS_ORPHANED</t>
  </si>
  <si>
    <t xml:space="preserve">TERMINATED_ACCT_ACCESS|GEO_ANOMALY</t>
  </si>
  <si>
    <t xml:space="preserve">CRITICAL</t>
  </si>
  <si>
    <t xml:space="preserve">CRITICAL: Terminated account (USR-8003) authenticated from VPS - Panama City, PA — account should be disabled</t>
  </si>
  <si>
    <t xml:space="preserve">EVT-1025</t>
  </si>
  <si>
    <t xml:space="preserve">2025-05-03 21:30:35</t>
  </si>
  <si>
    <t xml:space="preserve">USR-2001</t>
  </si>
  <si>
    <t xml:space="preserve">Sandra Okonkwo</t>
  </si>
  <si>
    <t xml:space="preserve">EVT-1057</t>
  </si>
  <si>
    <t xml:space="preserve">2025-05-03 23:28:35</t>
  </si>
  <si>
    <t xml:space="preserve">198.51.100.18</t>
  </si>
  <si>
    <t xml:space="preserve">EVT-1028</t>
  </si>
  <si>
    <t xml:space="preserve">2025-05-04 02:21:01</t>
  </si>
  <si>
    <t xml:space="preserve">EVT-1036</t>
  </si>
  <si>
    <t xml:space="preserve">2025-05-04 06:34:28</t>
  </si>
  <si>
    <t xml:space="preserve">192.0.2.28</t>
  </si>
  <si>
    <t xml:space="preserve">Remote - New York</t>
  </si>
  <si>
    <t xml:space="preserve">MFA_EXEMPT</t>
  </si>
  <si>
    <t xml:space="preserve">MEDIUM</t>
  </si>
  <si>
    <t xml:space="preserve">MFA exempt account — no second factor applied</t>
  </si>
  <si>
    <t xml:space="preserve">EVT-1108</t>
  </si>
  <si>
    <t xml:space="preserve">2025-05-04 08:27:31</t>
  </si>
  <si>
    <t xml:space="preserve">EVT-1132</t>
  </si>
  <si>
    <t xml:space="preserve">2025-05-04 08:51:16</t>
  </si>
  <si>
    <t xml:space="preserve">198.51.100.29</t>
  </si>
  <si>
    <t xml:space="preserve">EVT-1042</t>
  </si>
  <si>
    <t xml:space="preserve">2025-05-04 09:13:03</t>
  </si>
  <si>
    <t xml:space="preserve">EVT-1133</t>
  </si>
  <si>
    <t xml:space="preserve">2025-05-04 11:51:16</t>
  </si>
  <si>
    <t xml:space="preserve">162.247.74.7</t>
  </si>
  <si>
    <t xml:space="preserve">Tor Exit Node</t>
  </si>
  <si>
    <t xml:space="preserve">Impossible travel: Austin TX login 08:51 then Tor Exit Node at 11:51 — physically impossible</t>
  </si>
  <si>
    <t xml:space="preserve">EVT-1073</t>
  </si>
  <si>
    <t xml:space="preserve">2025-05-04 13:50:37</t>
  </si>
  <si>
    <t xml:space="preserve">SHR-7002</t>
  </si>
  <si>
    <t xml:space="preserve">admin-shared01</t>
  </si>
  <si>
    <t xml:space="preserve">EVT-1031</t>
  </si>
  <si>
    <t xml:space="preserve">2025-05-04 17:08:46</t>
  </si>
  <si>
    <t xml:space="preserve">EVT-1026</t>
  </si>
  <si>
    <t xml:space="preserve">2025-05-04 17:48:46</t>
  </si>
  <si>
    <t xml:space="preserve">EVT-1011</t>
  </si>
  <si>
    <t xml:space="preserve">2025-05-04 21:17:44</t>
  </si>
  <si>
    <t xml:space="preserve">USR-1005</t>
  </si>
  <si>
    <t xml:space="preserve">Ryan O'Brien</t>
  </si>
  <si>
    <t xml:space="preserve">203.0.113.79</t>
  </si>
  <si>
    <t xml:space="preserve">Remote - Seattle</t>
  </si>
  <si>
    <t xml:space="preserve">EVT-1107</t>
  </si>
  <si>
    <t xml:space="preserve">2025-05-05 12:54:57</t>
  </si>
  <si>
    <t xml:space="preserve">EVT-1037</t>
  </si>
  <si>
    <t xml:space="preserve">2025-05-05 14:15:55</t>
  </si>
  <si>
    <t xml:space="preserve">EVT-1157</t>
  </si>
  <si>
    <t xml:space="preserve">2025-05-05 18:27:19</t>
  </si>
  <si>
    <t xml:space="preserve">198.51.100.28</t>
  </si>
  <si>
    <t xml:space="preserve">RECORD_EDIT</t>
  </si>
  <si>
    <t xml:space="preserve">Modified transaction record TXN-9983821 — outside Finance Analyst RBAC scope</t>
  </si>
  <si>
    <t xml:space="preserve">EVT-1054</t>
  </si>
  <si>
    <t xml:space="preserve">2025-05-05 19:13:45</t>
  </si>
  <si>
    <t xml:space="preserve">USR-4007</t>
  </si>
  <si>
    <t xml:space="preserve">Rachel Kim</t>
  </si>
  <si>
    <t xml:space="preserve">EVT-1052</t>
  </si>
  <si>
    <t xml:space="preserve">2025-05-05 21:06:56</t>
  </si>
  <si>
    <t xml:space="preserve">USR-4003</t>
  </si>
  <si>
    <t xml:space="preserve">Amara Diallo</t>
  </si>
  <si>
    <t xml:space="preserve">Support Agent (T1)</t>
  </si>
  <si>
    <t xml:space="preserve">EVT-1146</t>
  </si>
  <si>
    <t xml:space="preserve">2025-05-06 02:19:00</t>
  </si>
  <si>
    <t xml:space="preserve">USR-8001</t>
  </si>
  <si>
    <t xml:space="preserve">Chris Alderton</t>
  </si>
  <si>
    <t xml:space="preserve">198.51.100.11</t>
  </si>
  <si>
    <t xml:space="preserve">EVT-1128</t>
  </si>
  <si>
    <t xml:space="preserve">2025-05-06 04:53:59</t>
  </si>
  <si>
    <t xml:space="preserve">198.51.100.24</t>
  </si>
  <si>
    <t xml:space="preserve">EVT-1147</t>
  </si>
  <si>
    <t xml:space="preserve">2025-05-06 05:19:00</t>
  </si>
  <si>
    <t xml:space="preserve">45.155.205.233</t>
  </si>
  <si>
    <t xml:space="preserve">VPS - Minsk, BY</t>
  </si>
  <si>
    <t xml:space="preserve">CRITICAL: Terminated account (USR-8001) authenticated from VPS - Minsk, BY — account should be disabled</t>
  </si>
  <si>
    <t xml:space="preserve">EVT-1129</t>
  </si>
  <si>
    <t xml:space="preserve">2025-05-06 07:53:59</t>
  </si>
  <si>
    <t xml:space="preserve">Impossible travel: Austin TX login 04:53 then VPS - Lagos, NG at 07:53 — physically impossible</t>
  </si>
  <si>
    <t xml:space="preserve">EVT-1050</t>
  </si>
  <si>
    <t xml:space="preserve">2025-05-06 09:10:28</t>
  </si>
  <si>
    <t xml:space="preserve">EVT-1069</t>
  </si>
  <si>
    <t xml:space="preserve">2025-05-06 13:04:42</t>
  </si>
  <si>
    <t xml:space="preserve">EVT-1033</t>
  </si>
  <si>
    <t xml:space="preserve">2025-05-06 13:26:29</t>
  </si>
  <si>
    <t xml:space="preserve">192.0.2.22</t>
  </si>
  <si>
    <t xml:space="preserve">EVT-1105</t>
  </si>
  <si>
    <t xml:space="preserve">2025-05-06 17:29:26</t>
  </si>
  <si>
    <t xml:space="preserve">USR-1003</t>
  </si>
  <si>
    <t xml:space="preserve">Marcus Chen</t>
  </si>
  <si>
    <t xml:space="preserve">Engineering Lead</t>
  </si>
  <si>
    <t xml:space="preserve">EVT-1059</t>
  </si>
  <si>
    <t xml:space="preserve">2025-05-07 04:02:19</t>
  </si>
  <si>
    <t xml:space="preserve">EVT-1014</t>
  </si>
  <si>
    <t xml:space="preserve">2025-05-07 08:04:13</t>
  </si>
  <si>
    <t xml:space="preserve">203.0.113.83</t>
  </si>
  <si>
    <t xml:space="preserve">EVT-1040</t>
  </si>
  <si>
    <t xml:space="preserve">2025-05-07 08:59:50</t>
  </si>
  <si>
    <t xml:space="preserve">USR-3002</t>
  </si>
  <si>
    <t xml:space="preserve">Bernard Osei</t>
  </si>
  <si>
    <t xml:space="preserve">EVT-1065</t>
  </si>
  <si>
    <t xml:space="preserve">2025-05-07 10:17:55</t>
  </si>
  <si>
    <t xml:space="preserve">EVT-1039</t>
  </si>
  <si>
    <t xml:space="preserve">2025-05-07 15:30:13</t>
  </si>
  <si>
    <t xml:space="preserve">EVT-1068</t>
  </si>
  <si>
    <t xml:space="preserve">2025-05-07 18:12:16</t>
  </si>
  <si>
    <t xml:space="preserve">EVT-1138</t>
  </si>
  <si>
    <t xml:space="preserve">2025-05-07 18:15:19</t>
  </si>
  <si>
    <t xml:space="preserve">198.51.100.27</t>
  </si>
  <si>
    <t xml:space="preserve">EVT-1140</t>
  </si>
  <si>
    <t xml:space="preserve">2025-05-07 19:35:21</t>
  </si>
  <si>
    <t xml:space="preserve">EVT-1046</t>
  </si>
  <si>
    <t xml:space="preserve">2025-05-07 21:37:36</t>
  </si>
  <si>
    <t xml:space="preserve">EVT-1104</t>
  </si>
  <si>
    <t xml:space="preserve">2025-05-07 22:09:45</t>
  </si>
  <si>
    <t xml:space="preserve">EVT-1139</t>
  </si>
  <si>
    <t xml:space="preserve">2025-05-07 22:15:19</t>
  </si>
  <si>
    <t xml:space="preserve">Impossible travel: Austin TX login 18:15 then Tor Exit Node at 22:15 — physically impossible</t>
  </si>
  <si>
    <t xml:space="preserve">EVT-1041</t>
  </si>
  <si>
    <t xml:space="preserve">2025-05-07 22:46:50</t>
  </si>
  <si>
    <t xml:space="preserve">EVT-1141</t>
  </si>
  <si>
    <t xml:space="preserve">2025-05-07 23:35:21</t>
  </si>
  <si>
    <t xml:space="preserve">Impossible travel: Austin TX login 19:35 then Tor Exit Node at 23:35 — physically impossible</t>
  </si>
  <si>
    <t xml:space="preserve">EVT-1023</t>
  </si>
  <si>
    <t xml:space="preserve">2025-05-08 00:07:59</t>
  </si>
  <si>
    <t xml:space="preserve">EVT-1088</t>
  </si>
  <si>
    <t xml:space="preserve">2025-05-08 01:35:15</t>
  </si>
  <si>
    <t xml:space="preserve">LOGIN_FAILURE</t>
  </si>
  <si>
    <t xml:space="preserve">N/A</t>
  </si>
  <si>
    <t xml:space="preserve">INVALID_PASSWORD</t>
  </si>
  <si>
    <t xml:space="preserve">BRUTE_FORCE</t>
  </si>
  <si>
    <t xml:space="preserve">Burst of 7 failures in &lt;10 min — potential credential stuffing</t>
  </si>
  <si>
    <t xml:space="preserve">EVT-1089</t>
  </si>
  <si>
    <t xml:space="preserve">2025-05-08 01:37:15</t>
  </si>
  <si>
    <t xml:space="preserve">EVT-1090</t>
  </si>
  <si>
    <t xml:space="preserve">2025-05-08 01:39:15</t>
  </si>
  <si>
    <t xml:space="preserve">EVT-1091</t>
  </si>
  <si>
    <t xml:space="preserve">2025-05-08 01:41:15</t>
  </si>
  <si>
    <t xml:space="preserve">EVT-1092</t>
  </si>
  <si>
    <t xml:space="preserve">2025-05-08 01:43:15</t>
  </si>
  <si>
    <t xml:space="preserve">EVT-1093</t>
  </si>
  <si>
    <t xml:space="preserve">2025-05-08 01:45:15</t>
  </si>
  <si>
    <t xml:space="preserve">EVT-1094</t>
  </si>
  <si>
    <t xml:space="preserve">2025-05-08 01:47:15</t>
  </si>
  <si>
    <t xml:space="preserve">EVT-1048</t>
  </si>
  <si>
    <t xml:space="preserve">2025-05-08 10:59:48</t>
  </si>
  <si>
    <t xml:space="preserve">EVT-1150</t>
  </si>
  <si>
    <t xml:space="preserve">2025-05-08 14:28:21</t>
  </si>
  <si>
    <t xml:space="preserve">EVT-1151</t>
  </si>
  <si>
    <t xml:space="preserve">2025-05-08 15:28:21</t>
  </si>
  <si>
    <t xml:space="preserve">CRITICAL: Terminated account (USR-8003) authenticated from VPS - Minsk, BY — account should be disabled</t>
  </si>
  <si>
    <t xml:space="preserve">EVT-1136</t>
  </si>
  <si>
    <t xml:space="preserve">2025-05-08 19:45:31</t>
  </si>
  <si>
    <t xml:space="preserve">EVT-1137</t>
  </si>
  <si>
    <t xml:space="preserve">2025-05-08 20:45:31</t>
  </si>
  <si>
    <t xml:space="preserve">Impossible travel: Austin TX login 19:45 then VPS - Panama City, PA at 20:45 — physically impossible</t>
  </si>
  <si>
    <t xml:space="preserve">EVT-1134</t>
  </si>
  <si>
    <t xml:space="preserve">2025-05-08 22:33:12</t>
  </si>
  <si>
    <t xml:space="preserve">EVT-1162</t>
  </si>
  <si>
    <t xml:space="preserve">2025-05-08 22:38:30</t>
  </si>
  <si>
    <t xml:space="preserve">iam:ListUsers</t>
  </si>
  <si>
    <t xml:space="preserve">Break-glass session active 10hrs past approved window — all actions flagged</t>
  </si>
  <si>
    <t xml:space="preserve">EVT-1135</t>
  </si>
  <si>
    <t xml:space="preserve">2025-05-09 00:33:12</t>
  </si>
  <si>
    <t xml:space="preserve">Impossible travel: Austin TX login 22:33 then VPS - Lagos, NG at 00:33 — physically impossible</t>
  </si>
  <si>
    <t xml:space="preserve">EVT-1161</t>
  </si>
  <si>
    <t xml:space="preserve">2025-05-09 02:10:00</t>
  </si>
  <si>
    <t xml:space="preserve">secretsmanager:GetSecretValue</t>
  </si>
  <si>
    <t xml:space="preserve">TERMINATED_ACCT_PRIV_ESC</t>
  </si>
  <si>
    <t xml:space="preserve">Terminated employee retrieved secret 'staging/db-credentials' — CRITICAL</t>
  </si>
  <si>
    <t xml:space="preserve">EVT-1044</t>
  </si>
  <si>
    <t xml:space="preserve">2025-05-09 02:54:11</t>
  </si>
  <si>
    <t xml:space="preserve">EVT-1071</t>
  </si>
  <si>
    <t xml:space="preserve">2025-05-09 04:12:26</t>
  </si>
  <si>
    <t xml:space="preserve">EVT-1021</t>
  </si>
  <si>
    <t xml:space="preserve">2025-05-09 05:32:58</t>
  </si>
  <si>
    <t xml:space="preserve">EVT-1019</t>
  </si>
  <si>
    <t xml:space="preserve">2025-05-09 08:35:55</t>
  </si>
  <si>
    <t xml:space="preserve">EVT-1070</t>
  </si>
  <si>
    <t xml:space="preserve">2025-05-09 09:42:26</t>
  </si>
  <si>
    <t xml:space="preserve">EVT-1008</t>
  </si>
  <si>
    <t xml:space="preserve">2025-05-09 09:53:40</t>
  </si>
  <si>
    <t xml:space="preserve">USR-1004</t>
  </si>
  <si>
    <t xml:space="preserve">Fatima Al-Rashid</t>
  </si>
  <si>
    <t xml:space="preserve">203.0.113.50</t>
  </si>
  <si>
    <t xml:space="preserve">Remote - Chicago</t>
  </si>
  <si>
    <t xml:space="preserve">EVT-1055</t>
  </si>
  <si>
    <t xml:space="preserve">2025-05-09 15:16:57</t>
  </si>
  <si>
    <t xml:space="preserve">EVT-1126</t>
  </si>
  <si>
    <t xml:space="preserve">2025-05-09 16:17:39</t>
  </si>
  <si>
    <t xml:space="preserve">EVT-1127</t>
  </si>
  <si>
    <t xml:space="preserve">2025-05-09 20:17:39</t>
  </si>
  <si>
    <t xml:space="preserve">Impossible travel: Austin TX login 16:17 then VPS - Panama City, PA at 20:17 — physically impossible</t>
  </si>
  <si>
    <t xml:space="preserve">EVT-1012</t>
  </si>
  <si>
    <t xml:space="preserve">2025-05-09 23:15:10</t>
  </si>
  <si>
    <t xml:space="preserve">203.0.113.84</t>
  </si>
  <si>
    <t xml:space="preserve">EVT-1158</t>
  </si>
  <si>
    <t xml:space="preserve">2025-05-10 01:39:47</t>
  </si>
  <si>
    <t xml:space="preserve">NO_MFA</t>
  </si>
  <si>
    <t xml:space="preserve">FEE_WAIVER</t>
  </si>
  <si>
    <t xml:space="preserve">SHARED_ACCT_PRIV_ACTION</t>
  </si>
  <si>
    <t xml:space="preserve">Approved $12,500 fee waiver — no individual attribution possible; shared account</t>
  </si>
  <si>
    <t xml:space="preserve">EVT-1072</t>
  </si>
  <si>
    <t xml:space="preserve">2025-05-10 18:19:25</t>
  </si>
  <si>
    <t xml:space="preserve">EVT-1110</t>
  </si>
  <si>
    <t xml:space="preserve">2025-05-10 18:42:01</t>
  </si>
  <si>
    <t xml:space="preserve">EVT-1130</t>
  </si>
  <si>
    <t xml:space="preserve">2025-05-10 18:42:24</t>
  </si>
  <si>
    <t xml:space="preserve">198.51.100.25</t>
  </si>
  <si>
    <t xml:space="preserve">EVT-1131</t>
  </si>
  <si>
    <t xml:space="preserve">2025-05-10 19:42:24</t>
  </si>
  <si>
    <t xml:space="preserve">Impossible travel: Austin TX login 18:42 then Tor Exit Node at 19:42 — physically impossible</t>
  </si>
  <si>
    <t xml:space="preserve">EVT-1155</t>
  </si>
  <si>
    <t xml:space="preserve">2025-05-10 19:50:39</t>
  </si>
  <si>
    <t xml:space="preserve">iam:CreateUser</t>
  </si>
  <si>
    <t xml:space="preserve">Created new IAM user 'tmp-deploy-user' outside provisioning workflow</t>
  </si>
  <si>
    <t xml:space="preserve">EVT-1051</t>
  </si>
  <si>
    <t xml:space="preserve">2025-05-10 20:33:00</t>
  </si>
  <si>
    <t xml:space="preserve">EVT-1160</t>
  </si>
  <si>
    <t xml:space="preserve">2025-05-11 02:10:15</t>
  </si>
  <si>
    <t xml:space="preserve">ec2:DescribeInstances</t>
  </si>
  <si>
    <t xml:space="preserve">Terminated employee enumerated EC2 instances in staging environment</t>
  </si>
  <si>
    <t xml:space="preserve">EVT-1074</t>
  </si>
  <si>
    <t xml:space="preserve">2025-05-11 06:32:30</t>
  </si>
  <si>
    <t xml:space="preserve">192.0.2.24</t>
  </si>
  <si>
    <t xml:space="preserve">Burst of 6 failures in &lt;10 min — potential credential stuffing</t>
  </si>
  <si>
    <t xml:space="preserve">EVT-1075</t>
  </si>
  <si>
    <t xml:space="preserve">2025-05-11 06:34:30</t>
  </si>
  <si>
    <t xml:space="preserve">192.0.2.23</t>
  </si>
  <si>
    <t xml:space="preserve">EVT-1076</t>
  </si>
  <si>
    <t xml:space="preserve">2025-05-11 06:36:30</t>
  </si>
  <si>
    <t xml:space="preserve">192.0.2.30</t>
  </si>
  <si>
    <t xml:space="preserve">EVT-1077</t>
  </si>
  <si>
    <t xml:space="preserve">2025-05-11 06:38:30</t>
  </si>
  <si>
    <t xml:space="preserve">192.0.2.31</t>
  </si>
  <si>
    <t xml:space="preserve">EVT-1078</t>
  </si>
  <si>
    <t xml:space="preserve">2025-05-11 06:40:30</t>
  </si>
  <si>
    <t xml:space="preserve">EVT-1079</t>
  </si>
  <si>
    <t xml:space="preserve">2025-05-11 06:42:30</t>
  </si>
  <si>
    <t xml:space="preserve">192.0.2.26</t>
  </si>
  <si>
    <t xml:space="preserve">EVT-1060</t>
  </si>
  <si>
    <t xml:space="preserve">2025-05-11 07:42:06</t>
  </si>
  <si>
    <t xml:space="preserve">EVT-1122</t>
  </si>
  <si>
    <t xml:space="preserve">2025-05-11 10:04:32</t>
  </si>
  <si>
    <t xml:space="preserve">EVT-1013</t>
  </si>
  <si>
    <t xml:space="preserve">2025-05-11 10:53:49</t>
  </si>
  <si>
    <t xml:space="preserve">203.0.113.81</t>
  </si>
  <si>
    <t xml:space="preserve">EVT-1123</t>
  </si>
  <si>
    <t xml:space="preserve">2025-05-11 11:04:32</t>
  </si>
  <si>
    <t xml:space="preserve">Impossible travel: Austin TX login 10:04 then Tor Exit Node at 11:04 — physically impossible</t>
  </si>
  <si>
    <t xml:space="preserve">EVT-1109</t>
  </si>
  <si>
    <t xml:space="preserve">2025-05-11 12:46:10</t>
  </si>
  <si>
    <t xml:space="preserve">EVT-1027</t>
  </si>
  <si>
    <t xml:space="preserve">2025-05-11 20:23:28</t>
  </si>
  <si>
    <t xml:space="preserve">EVT-1034</t>
  </si>
  <si>
    <t xml:space="preserve">2025-05-11 20:41:06</t>
  </si>
  <si>
    <t xml:space="preserve">EVT-1047</t>
  </si>
  <si>
    <t xml:space="preserve">2025-05-11 22:20:15</t>
  </si>
  <si>
    <t xml:space="preserve">EVT-1002</t>
  </si>
  <si>
    <t xml:space="preserve">2025-05-11 23:57:34</t>
  </si>
  <si>
    <t xml:space="preserve">EVT-1009</t>
  </si>
  <si>
    <t xml:space="preserve">2025-05-12 02:02:42</t>
  </si>
  <si>
    <t xml:space="preserve">203.0.113.49</t>
  </si>
  <si>
    <t xml:space="preserve">EVT-1119</t>
  </si>
  <si>
    <t xml:space="preserve">2025-05-12 06:04:37</t>
  </si>
  <si>
    <t xml:space="preserve">NO_MFA_CONFIGURED</t>
  </si>
  <si>
    <t xml:space="preserve">SHARED_ACCT_NO_MFA</t>
  </si>
  <si>
    <t xml:space="preserve">Shared account — no MFA enrolled; static password auth only</t>
  </si>
  <si>
    <t xml:space="preserve">EVT-1101</t>
  </si>
  <si>
    <t xml:space="preserve">2025-05-12 09:15:17</t>
  </si>
  <si>
    <t xml:space="preserve">FAILED_LOGIN</t>
  </si>
  <si>
    <t xml:space="preserve">Repeated failed password</t>
  </si>
  <si>
    <t xml:space="preserve">EVT-1102</t>
  </si>
  <si>
    <t xml:space="preserve">2025-05-12 09:17:17</t>
  </si>
  <si>
    <t xml:space="preserve">EVT-1103</t>
  </si>
  <si>
    <t xml:space="preserve">2025-05-12 09:19:17</t>
  </si>
  <si>
    <t xml:space="preserve">EVT-1120</t>
  </si>
  <si>
    <t xml:space="preserve">2025-05-12 09:54:43</t>
  </si>
  <si>
    <t xml:space="preserve">EVT-1035</t>
  </si>
  <si>
    <t xml:space="preserve">2025-05-12 10:51:55</t>
  </si>
  <si>
    <t xml:space="preserve">192.0.2.25</t>
  </si>
  <si>
    <t xml:space="preserve">EVT-1164</t>
  </si>
  <si>
    <t xml:space="preserve">2025-05-12 14:04:43</t>
  </si>
  <si>
    <t xml:space="preserve">PRIV_ESC_BLOCKED</t>
  </si>
  <si>
    <t xml:space="preserve">IAM_POLICY_DENY</t>
  </si>
  <si>
    <t xml:space="preserve">ec2:TerminateInstances</t>
  </si>
  <si>
    <t xml:space="preserve">Junior dev attempted to terminate prod EC2 instance — DENY; IAM policy blocked</t>
  </si>
  <si>
    <t xml:space="preserve">EVT-1144</t>
  </si>
  <si>
    <t xml:space="preserve">2025-05-12 17:48:33</t>
  </si>
  <si>
    <t xml:space="preserve">EVT-1016</t>
  </si>
  <si>
    <t xml:space="preserve">2025-05-12 18:27:57</t>
  </si>
  <si>
    <t xml:space="preserve">EVT-1145</t>
  </si>
  <si>
    <t xml:space="preserve">2025-05-12 18:48:33</t>
  </si>
  <si>
    <t xml:space="preserve">103.21.244.0</t>
  </si>
  <si>
    <t xml:space="preserve">Proxy - Kuala Lumpur, MY</t>
  </si>
  <si>
    <t xml:space="preserve">CRITICAL: Terminated account (USR-8001) authenticated from Proxy - Kuala Lumpur, MY — account should be disabled</t>
  </si>
  <si>
    <t xml:space="preserve">EVT-1004</t>
  </si>
  <si>
    <t xml:space="preserve">2025-05-12 20:44:34</t>
  </si>
  <si>
    <t xml:space="preserve">EVT-1084</t>
  </si>
  <si>
    <t xml:space="preserve">2025-05-12 22:24:31</t>
  </si>
  <si>
    <t xml:space="preserve">EVT-1085</t>
  </si>
  <si>
    <t xml:space="preserve">2025-05-12 22:26:31</t>
  </si>
  <si>
    <t xml:space="preserve">EVT-1086</t>
  </si>
  <si>
    <t xml:space="preserve">2025-05-12 22:28:31</t>
  </si>
  <si>
    <t xml:space="preserve">EVT-1087</t>
  </si>
  <si>
    <t xml:space="preserve">2025-05-12 22:30:31</t>
  </si>
  <si>
    <t xml:space="preserve">EVT-1114</t>
  </si>
  <si>
    <t xml:space="preserve">2025-05-13 00:15:12</t>
  </si>
  <si>
    <t xml:space="preserve">TOTP_EXPIRED</t>
  </si>
  <si>
    <t xml:space="preserve">EVT-1007</t>
  </si>
  <si>
    <t xml:space="preserve">2025-05-13 01:46:29</t>
  </si>
  <si>
    <t xml:space="preserve">203.0.113.46</t>
  </si>
  <si>
    <t xml:space="preserve">EVT-1117</t>
  </si>
  <si>
    <t xml:space="preserve">2025-05-13 05:19:06</t>
  </si>
  <si>
    <t xml:space="preserve">EVT-1005</t>
  </si>
  <si>
    <t xml:space="preserve">2025-05-13 05:44:27</t>
  </si>
  <si>
    <t xml:space="preserve">EVT-1080</t>
  </si>
  <si>
    <t xml:space="preserve">2025-05-13 06:09:01</t>
  </si>
  <si>
    <t xml:space="preserve">EVT-1081</t>
  </si>
  <si>
    <t xml:space="preserve">2025-05-13 06:11:01</t>
  </si>
  <si>
    <t xml:space="preserve">EVT-1082</t>
  </si>
  <si>
    <t xml:space="preserve">2025-05-13 06:13:01</t>
  </si>
  <si>
    <t xml:space="preserve">EVT-1083</t>
  </si>
  <si>
    <t xml:space="preserve">2025-05-13 06:15:01</t>
  </si>
  <si>
    <t xml:space="preserve">EVT-1159</t>
  </si>
  <si>
    <t xml:space="preserve">2025-05-13 06:40:13</t>
  </si>
  <si>
    <t xml:space="preserve">ACCOUNT_FREEZE</t>
  </si>
  <si>
    <t xml:space="preserve">Froze merchant account MER-00421 without audit trail — shared account used</t>
  </si>
  <si>
    <t xml:space="preserve">EVT-1006</t>
  </si>
  <si>
    <t xml:space="preserve">2025-05-13 10:06:05</t>
  </si>
  <si>
    <t xml:space="preserve">EVT-1116</t>
  </si>
  <si>
    <t xml:space="preserve">2025-05-13 11:10:38</t>
  </si>
  <si>
    <t xml:space="preserve">EVT-1112</t>
  </si>
  <si>
    <t xml:space="preserve">2025-05-13 12:17:48</t>
  </si>
  <si>
    <t xml:space="preserve">EVT-1032</t>
  </si>
  <si>
    <t xml:space="preserve">2025-05-13 13:12:06</t>
  </si>
  <si>
    <t xml:space="preserve">EVT-1062</t>
  </si>
  <si>
    <t xml:space="preserve">2025-05-13 13:51:42</t>
  </si>
  <si>
    <t xml:space="preserve">EVT-1156</t>
  </si>
  <si>
    <t xml:space="preserve">2025-05-13 16:24:28</t>
  </si>
  <si>
    <t xml:space="preserve">s3:PutBucketPolicy</t>
  </si>
  <si>
    <t xml:space="preserve">Modified S3 bucket policy on prod-backups-novapay — write access granted to personal IAM user</t>
  </si>
  <si>
    <t xml:space="preserve">EVT-1121</t>
  </si>
  <si>
    <t xml:space="preserve">2025-05-13 18:50:02</t>
  </si>
  <si>
    <t xml:space="preserve">EVT-1018</t>
  </si>
  <si>
    <t xml:space="preserve">2025-05-13 21:27:38</t>
  </si>
  <si>
    <t xml:space="preserve">EVT-1063</t>
  </si>
  <si>
    <t xml:space="preserve">2025-05-13 22:06:24</t>
  </si>
  <si>
    <t xml:space="preserve">EVT-1152</t>
  </si>
  <si>
    <t xml:space="preserve">2025-05-14 01:25:31</t>
  </si>
  <si>
    <t xml:space="preserve">EVT-1153</t>
  </si>
  <si>
    <t xml:space="preserve">2025-05-14 02:25:31</t>
  </si>
  <si>
    <t xml:space="preserve">CRITICAL: Terminated account (USR-8003) authenticated from VPS - Lagos, NG — account should be disabled</t>
  </si>
  <si>
    <t xml:space="preserve">EVT-1010</t>
  </si>
  <si>
    <t xml:space="preserve">2025-05-14 03:24:17</t>
  </si>
  <si>
    <t xml:space="preserve">EVT-1056</t>
  </si>
  <si>
    <t xml:space="preserve">2025-05-14 08:02:00</t>
  </si>
  <si>
    <t xml:space="preserve">EVT-1030</t>
  </si>
  <si>
    <t xml:space="preserve">2025-05-14 10:04:32</t>
  </si>
  <si>
    <t xml:space="preserve">EVT-1064</t>
  </si>
  <si>
    <t xml:space="preserve">2025-05-14 14:22:19</t>
  </si>
  <si>
    <t xml:space="preserve">EVT-1053</t>
  </si>
  <si>
    <t xml:space="preserve">2025-05-15 03:47:35</t>
  </si>
  <si>
    <t xml:space="preserve">EVT-1095</t>
  </si>
  <si>
    <t xml:space="preserve">2025-05-15 05:47:55</t>
  </si>
  <si>
    <t xml:space="preserve">EVT-1096</t>
  </si>
  <si>
    <t xml:space="preserve">2025-05-15 05:49:55</t>
  </si>
  <si>
    <t xml:space="preserve">EVT-1097</t>
  </si>
  <si>
    <t xml:space="preserve">2025-05-15 05:51:55</t>
  </si>
  <si>
    <t xml:space="preserve">EVT-1098</t>
  </si>
  <si>
    <t xml:space="preserve">2025-05-15 05:53:55</t>
  </si>
  <si>
    <t xml:space="preserve">EVT-1099</t>
  </si>
  <si>
    <t xml:space="preserve">2025-05-15 05:55:55</t>
  </si>
  <si>
    <t xml:space="preserve">EVT-1100</t>
  </si>
  <si>
    <t xml:space="preserve">2025-05-15 05:57:55</t>
  </si>
  <si>
    <t xml:space="preserve">EVT-1061</t>
  </si>
  <si>
    <t xml:space="preserve">2025-05-15 07:55:10</t>
  </si>
  <si>
    <t xml:space="preserve">EVT-1165</t>
  </si>
  <si>
    <t xml:space="preserve">2025-05-15 08:50:50</t>
  </si>
  <si>
    <t xml:space="preserve">SVC-6001</t>
  </si>
  <si>
    <t xml:space="preserve">svc-payment-processor</t>
  </si>
  <si>
    <t xml:space="preserve">Service Acct (App)</t>
  </si>
  <si>
    <t xml:space="preserve">Payment API</t>
  </si>
  <si>
    <t xml:space="preserve">10.0.1.5</t>
  </si>
  <si>
    <t xml:space="preserve">Internal</t>
  </si>
  <si>
    <t xml:space="preserve">PAYMENT_INITIATE</t>
  </si>
  <si>
    <t xml:space="preserve">STALE_CRED_ANOMALY</t>
  </si>
  <si>
    <t xml:space="preserve">Unexpected payment initiation via 312-day-unrotated API key — anomalous timing 03:17 UTC</t>
  </si>
  <si>
    <t xml:space="preserve">EVT-1118</t>
  </si>
  <si>
    <t xml:space="preserve">2025-05-15 09:36:43</t>
  </si>
  <si>
    <t xml:space="preserve">EVT-1024</t>
  </si>
  <si>
    <t xml:space="preserve">2025-05-15 18:05:05</t>
  </si>
  <si>
    <t xml:space="preserve">EVT-1106</t>
  </si>
  <si>
    <t xml:space="preserve">2025-05-15 18:44:01</t>
  </si>
  <si>
    <t xml:space="preserve">EVT-1015</t>
  </si>
  <si>
    <t xml:space="preserve">2025-05-15 20:29:09</t>
  </si>
  <si>
    <t xml:space="preserve">NovaPay IAM — Anomaly Analysis Report  |  2025-05-01 to 2025-05-15  |  CONFIDENTIAL</t>
  </si>
  <si>
    <t xml:space="preserve">1.  LOG SUMMARY STATISTICS</t>
  </si>
  <si>
    <t xml:space="preserve">Metric</t>
  </si>
  <si>
    <t xml:space="preserve">Value</t>
  </si>
  <si>
    <t xml:space="preserve">Severity Breakdown</t>
  </si>
  <si>
    <t xml:space="preserve">Count</t>
  </si>
  <si>
    <t xml:space="preserve">Total Log Entries</t>
  </si>
  <si>
    <t xml:space="preserve">Unique Users Involved</t>
  </si>
  <si>
    <t xml:space="preserve">Events with Anomaly Flag</t>
  </si>
  <si>
    <t xml:space="preserve">CRITICAL Severity Events</t>
  </si>
  <si>
    <t xml:space="preserve">HIGH Severity Events</t>
  </si>
  <si>
    <t xml:space="preserve">MEDIUM Severity Events</t>
  </si>
  <si>
    <t xml:space="preserve">LOW Severity Events</t>
  </si>
  <si>
    <t xml:space="preserve">Distinct Anomaly Types</t>
  </si>
  <si>
    <t xml:space="preserve">2.  ANOMALY TYPE BREAKDOWN</t>
  </si>
  <si>
    <t xml:space="preserve">Anomaly Type</t>
  </si>
  <si>
    <t xml:space="preserve">Event Count</t>
  </si>
  <si>
    <t xml:space="preserve">Associated Risk Finding</t>
  </si>
  <si>
    <t xml:space="preserve">Impacted Users (Sample)</t>
  </si>
  <si>
    <t xml:space="preserve">Recommended Action</t>
  </si>
  <si>
    <t xml:space="preserve">R-010</t>
  </si>
  <si>
    <t xml:space="preserve">USR-2005, USR-1006, USR-5003</t>
  </si>
  <si>
    <t xml:space="preserve">Enforce account lockout after 5 failures; alert SOC</t>
  </si>
  <si>
    <t xml:space="preserve">GEO_ANOMALY</t>
  </si>
  <si>
    <t xml:space="preserve">R-004</t>
  </si>
  <si>
    <t xml:space="preserve">Multiple</t>
  </si>
  <si>
    <t xml:space="preserve">Alert SIEM; cross-reference VPN connection status</t>
  </si>
  <si>
    <t xml:space="preserve">R-007</t>
  </si>
  <si>
    <t xml:space="preserve">USR-1003, USR-2001, USR-5001</t>
  </si>
  <si>
    <t xml:space="preserve">Investigate TOTP desync; alert on &gt;3 failures</t>
  </si>
  <si>
    <t xml:space="preserve">USR-2005, USR-4003, USR-4007</t>
  </si>
  <si>
    <t xml:space="preserve">Revoke exemptions; enforce MFA enrollment within 48hrs</t>
  </si>
  <si>
    <t xml:space="preserve">IMPOSSIBLE_TRAVEL</t>
  </si>
  <si>
    <t xml:space="preserve">USR-2005, USR-1001, USR-2001</t>
  </si>
  <si>
    <t xml:space="preserve">Block session; require step-up auth; notify user</t>
  </si>
  <si>
    <t xml:space="preserve">Review password policy; monitor repeat offenders</t>
  </si>
  <si>
    <t xml:space="preserve">R-001</t>
  </si>
  <si>
    <t xml:space="preserve">SHR-7001, SHR-7002</t>
  </si>
  <si>
    <t xml:space="preserve">Disable shared accounts immediately; migrate to named accounts</t>
  </si>
  <si>
    <t xml:space="preserve">R-008</t>
  </si>
  <si>
    <t xml:space="preserve">USR-1001, USR-1004, USR-1008</t>
  </si>
  <si>
    <t xml:space="preserve">Remove Engineering Lead group; review all staged changes</t>
  </si>
  <si>
    <t xml:space="preserve">TERMINATED_ACCT_ACCESS</t>
  </si>
  <si>
    <t xml:space="preserve">Disable account immediately; forensic review of all actions</t>
  </si>
  <si>
    <t xml:space="preserve">R-015</t>
  </si>
  <si>
    <t xml:space="preserve">Enforce automated TTL; post-incident review mandatory</t>
  </si>
  <si>
    <t xml:space="preserve">Escalate to CISO; revoke all AWS permissions; incident ticket</t>
  </si>
  <si>
    <t xml:space="preserve">R-001 + R-013</t>
  </si>
  <si>
    <t xml:space="preserve">No audit trail possible — migrate before next occurrence</t>
  </si>
  <si>
    <t xml:space="preserve">R-002</t>
  </si>
  <si>
    <t xml:space="preserve">Rotate API key immediately; audit all recent API calls</t>
  </si>
  <si>
    <t xml:space="preserve">3.  TOP ANOMALOUS USERS</t>
  </si>
  <si>
    <t xml:space="preserve">Rank</t>
  </si>
  <si>
    <t xml:space="preserve">Dept</t>
  </si>
  <si>
    <t xml:space="preserve">Anomaly Events</t>
  </si>
  <si>
    <t xml:space="preserve">Max Risk Score</t>
  </si>
  <si>
    <t xml:space="preserve">Primary Anomaly Types</t>
  </si>
  <si>
    <t xml:space="preserve">GEO_ANOMALY | TERMINATED_ACCT_ACCESS</t>
  </si>
  <si>
    <t xml:space="preserve">GEO_ANOMALY | TERMINATED_ACCT_ACCESS | TERMINATED_ACCT_PRIV_ESC</t>
  </si>
  <si>
    <t xml:space="preserve">SHARED_ACCT_NO_MFA | SHARED_ACCT_PRIV_ACTION</t>
  </si>
  <si>
    <t xml:space="preserve">BREAK_GLASS_OVERRUN | BRUTE_FORCE | GEO_ANOMALY | IMPOSSIBLE_TRAVEL</t>
  </si>
  <si>
    <t xml:space="preserve">GEO_ANOMALY | IMPOSSIBLE_TRAVEL | ROLE_CREEP_PRIV_ESC</t>
  </si>
  <si>
    <t xml:space="preserve">BRUTE_FORCE | GEO_ANOMALY | IMPOSSIBLE_TRAVEL | MFA_EXEMPT</t>
  </si>
  <si>
    <t xml:space="preserve">BRUTE_FORCE | GEO_ANOMALY | IMPOSSIBLE_TRAVEL | MFA_FAILURE</t>
  </si>
  <si>
    <t xml:space="preserve">FAILED_LOGIN | GEO_ANOMALY | IMPOSSIBLE_TRAVEL | MFA_FAILURE</t>
  </si>
  <si>
    <t xml:space="preserve">4.  KEY FINDINGS &amp; INVESTIGATIVE PRIORITIES</t>
  </si>
  <si>
    <t xml:space="preserve">Finding ID</t>
  </si>
  <si>
    <t xml:space="preserve">Title</t>
  </si>
  <si>
    <t xml:space="preserve">Detail</t>
  </si>
  <si>
    <t xml:space="preserve">F-001</t>
  </si>
  <si>
    <t xml:space="preserve">Terminated Employee Active in Production</t>
  </si>
  <si>
    <t xml:space="preserve">USR-8001 (Chris Alderton, terminated 2025-01-15) authenticated from suspicious IPs and retrieved staging DB credentials via secretsmanager:GetSecretValue. Account must be disabled immediately and all AWS permissions revoked. Incident ticket required.</t>
  </si>
  <si>
    <t xml:space="preserve">Disable USR-8001 now; revoke AWS IAM; forensic review Jan 8–May 15</t>
  </si>
  <si>
    <t xml:space="preserve">F-002</t>
  </si>
  <si>
    <t xml:space="preserve">Shared Accounts Bypassing All MFA &amp; SSO Controls</t>
  </si>
  <si>
    <t xml:space="preserve">SHR-7001 and SHR-7002 performed privileged actions (fee waivers, account freezes) with no MFA, no SSO, and no individual attribution. Static passwords unchanged 400+ days. SEC-001 still open.</t>
  </si>
  <si>
    <t xml:space="preserve">Disable SHR-7001/7002/7003; provision named accounts; deploy PAM</t>
  </si>
  <si>
    <t xml:space="preserve">F-003</t>
  </si>
  <si>
    <t xml:space="preserve">Stale Payment API Key Used at Anomalous Time</t>
  </si>
  <si>
    <t xml:space="preserve">SVC-6001 (svc-payment-processor, API key unrotated 312 days) initiated a payment at 03:17 UTC — outside normal business hours. Possible credential compromise. PCI-DSS breach vector.</t>
  </si>
  <si>
    <t xml:space="preserve">Rotate API key immediately; audit all SVC-6001 API calls; Vault dynamic secrets</t>
  </si>
  <si>
    <t xml:space="preserve">F-004</t>
  </si>
  <si>
    <t xml:space="preserve">Impossible Travel — Finance Manager No MFA</t>
  </si>
  <si>
    <t xml:space="preserve">USR-2005 (Nadia Petrov, Finance Manager) logged in from Austin TX then from a foreign VPS within hours, with no MFA protecting the account. Finance system and Admin Dashboard write access exposed.</t>
  </si>
  <si>
    <t xml:space="preserve">Block USR-2005 session; enforce MFA before re-enable; geo-IP alert rule</t>
  </si>
  <si>
    <t xml:space="preserve">F-005</t>
  </si>
  <si>
    <t xml:space="preserve">Role Creep Accounts Attempting Privilege Escalation</t>
  </si>
  <si>
    <t xml:space="preserve">USR-1001, USR-1004, USR-1008 (role creep — retained Engineering Lead group) attempted IAM policy attachment and S3 bucket policy modification beyond their current Developer (Senior) scope.</t>
  </si>
  <si>
    <t xml:space="preserve">Remove Eng Lead group; review all staged/prod changes by these users</t>
  </si>
  <si>
    <t xml:space="preserve">F-006</t>
  </si>
  <si>
    <t xml:space="preserve">Break-Glass Account 10hrs Past Approved Window</t>
  </si>
  <si>
    <t xml:space="preserve">USR-5003 (James Obi, Super-Admin) performed a bulk export of 2,300 merchant records while break-glass session had overrun by 10hrs. Actions are logged but TTL enforcement failed.</t>
  </si>
  <si>
    <t xml:space="preserve">Implement automated 4hr TTL; SIEM alert on overrun; post-incident review</t>
  </si>
  <si>
    <t xml:space="preserve">NovaPay Financial Technologies — IAM Identity Inventory  |  Assessment Date: Q2 2025  |  CONFIDENTIAL</t>
  </si>
  <si>
    <t xml:space="preserve">Access Level</t>
  </si>
  <si>
    <t xml:space="preserve">MFA Enabled</t>
  </si>
  <si>
    <t xml:space="preserve">Last Login</t>
  </si>
  <si>
    <t xml:space="preserve">Account Status</t>
  </si>
  <si>
    <t xml:space="preserve">Risk Flag</t>
  </si>
  <si>
    <t xml:space="preserve">Level 3 — Write (Dev/Staging)</t>
  </si>
  <si>
    <t xml:space="preserve">Yes</t>
  </si>
  <si>
    <t xml:space="preserve">2025-05-14</t>
  </si>
  <si>
    <t xml:space="preserve">Active</t>
  </si>
  <si>
    <t xml:space="preserve">ROLE_CREEP</t>
  </si>
  <si>
    <t xml:space="preserve">Retains Engineering Lead Okta group from Mar 2024 restructure. Flagged in SEC-007. Write perms to staging infra beyond current JD.</t>
  </si>
  <si>
    <t xml:space="preserve">Level 2 — Read (Dev Only)</t>
  </si>
  <si>
    <t xml:space="preserve">2025-05-15</t>
  </si>
  <si>
    <t xml:space="preserve">CLEAN</t>
  </si>
  <si>
    <t xml:space="preserve">Level 4 — Write (Dev+Staging)</t>
  </si>
  <si>
    <t xml:space="preserve">2025-05-13</t>
  </si>
  <si>
    <t xml:space="preserve">Quarterly access cert completed 2025-04-01.</t>
  </si>
  <si>
    <t xml:space="preserve">2025-03-02</t>
  </si>
  <si>
    <t xml:space="preserve">Retains Engineering Lead group (unrevoked). Last login 73 days ago — borderline inactive threshold.</t>
  </si>
  <si>
    <t xml:space="preserve">No</t>
  </si>
  <si>
    <t xml:space="preserve">2025-05-10</t>
  </si>
  <si>
    <t xml:space="preserve">Helpdesk ticket #HD-3821 granted MFA exemption 2025-02-18 — over 90 days elapsed, no renewal. Contractor.</t>
  </si>
  <si>
    <t xml:space="preserve">Level 5 — Full (Infra Acct)</t>
  </si>
  <si>
    <t xml:space="preserve">FIDO2 hardware key enrolled. PAM-vaulted. Quarterly cert OK.</t>
  </si>
  <si>
    <t xml:space="preserve">USR-1007</t>
  </si>
  <si>
    <t xml:space="preserve">Derek Sampson</t>
  </si>
  <si>
    <t xml:space="preserve">2024-11-30</t>
  </si>
  <si>
    <t xml:space="preserve">INACTIVE</t>
  </si>
  <si>
    <t xml:space="preserve">No login in 166 days. Account not suspended. Oncall rotation removed Nov 2024 — possible offboarding gap.</t>
  </si>
  <si>
    <t xml:space="preserve">2025-05-12</t>
  </si>
  <si>
    <t xml:space="preserve">Retained Eng Lead group. Detected in quarterly cert but manager attestation overridden without CISO sign-off.</t>
  </si>
  <si>
    <t xml:space="preserve">USR-1009</t>
  </si>
  <si>
    <t xml:space="preserve">Lucas Ferreira</t>
  </si>
  <si>
    <t xml:space="preserve">USR-1010</t>
  </si>
  <si>
    <t xml:space="preserve">Mei Lin</t>
  </si>
  <si>
    <t xml:space="preserve">2025-05-08</t>
  </si>
  <si>
    <t xml:space="preserve">Level 4 — Read/Write (Fin)</t>
  </si>
  <si>
    <t xml:space="preserve">MFA 100% coverage dept. Maker-checker workflow enforced.</t>
  </si>
  <si>
    <t xml:space="preserve">USR-2002</t>
  </si>
  <si>
    <t xml:space="preserve">Tom Hargreaves</t>
  </si>
  <si>
    <t xml:space="preserve">Level 3 — Read (Fin Systems)</t>
  </si>
  <si>
    <t xml:space="preserve">2025-04-28</t>
  </si>
  <si>
    <t xml:space="preserve">OVER_PRIVILEGED</t>
  </si>
  <si>
    <t xml:space="preserve">Has Admin Dashboard edit rights. Role should be Read-only per RBAC matrix. Provisioned incorrectly during onboarding.</t>
  </si>
  <si>
    <t xml:space="preserve">USR-2004</t>
  </si>
  <si>
    <t xml:space="preserve">Benson Kariuki</t>
  </si>
  <si>
    <t xml:space="preserve">2025-05-09</t>
  </si>
  <si>
    <t xml:space="preserve">NO_MFA_ADMIN</t>
  </si>
  <si>
    <t xml:space="preserve">⚠ CRITICAL: Manager-level account with no MFA. Exemption ticket #HD-4102 expired 2025-03-01. Escalated to CISO — no action taken.</t>
  </si>
  <si>
    <t xml:space="preserve">Level 2 — Read (HR Systems)</t>
  </si>
  <si>
    <t xml:space="preserve">2025-05-01</t>
  </si>
  <si>
    <t xml:space="preserve">Part-time staff, MFA exemption granted 2025-01-10. 125 days elapsed — exceeds 30-day auto-expiry policy. Not enforced.</t>
  </si>
  <si>
    <t xml:space="preserve">USR-3003</t>
  </si>
  <si>
    <t xml:space="preserve">Lin Jing</t>
  </si>
  <si>
    <t xml:space="preserve">2025-03-15</t>
  </si>
  <si>
    <t xml:space="preserve">Last login 61 days ago. HR reports employee on extended leave — account not suspended per policy.</t>
  </si>
  <si>
    <t xml:space="preserve">USR-3004</t>
  </si>
  <si>
    <t xml:space="preserve">Marcus Webb</t>
  </si>
  <si>
    <t xml:space="preserve">2025-05-11</t>
  </si>
  <si>
    <t xml:space="preserve">Level 4 — Full (Web App)</t>
  </si>
  <si>
    <t xml:space="preserve">Session recording not enforced on Admin Dashboard access — tracked SEC-007.</t>
  </si>
  <si>
    <t xml:space="preserve">Level 3 — Read/Write (WebApp)</t>
  </si>
  <si>
    <t xml:space="preserve">Level 1 — Read Only</t>
  </si>
  <si>
    <t xml:space="preserve">T1 agent pending MFA enrollment. Ticket #HD-5009 open 45 days with no resolution.</t>
  </si>
  <si>
    <t xml:space="preserve">USR-4004</t>
  </si>
  <si>
    <t xml:space="preserve">Craig Thompson</t>
  </si>
  <si>
    <t xml:space="preserve">2025-04-22</t>
  </si>
  <si>
    <t xml:space="preserve">T1 agent. MFA exemption — risk accepted by Support Manager 2025-03-15. Not reviewed since.</t>
  </si>
  <si>
    <t xml:space="preserve">USR-4005</t>
  </si>
  <si>
    <t xml:space="preserve">Priscilla Nakamura</t>
  </si>
  <si>
    <t xml:space="preserve">USR-4006</t>
  </si>
  <si>
    <t xml:space="preserve">David Mensah</t>
  </si>
  <si>
    <t xml:space="preserve">2024-12-05</t>
  </si>
  <si>
    <t xml:space="preserve">No login in 161 days. Still Active status. IT notified 2025-04-10 — no response. Possible ghost account.</t>
  </si>
  <si>
    <t xml:space="preserve">MFA exemption ticket #HD-5210. Accesses customer PII via Web App without MFA — high risk.</t>
  </si>
  <si>
    <t xml:space="preserve">Level 5 — Full (Audit)</t>
  </si>
  <si>
    <t xml:space="preserve">FIDO2 YubiKey 5 NFC. Access cert completed 2025-04-01. PAM enrolled.</t>
  </si>
  <si>
    <t xml:space="preserve">USR-5002</t>
  </si>
  <si>
    <t xml:space="preserve">Elena Volkov</t>
  </si>
  <si>
    <t xml:space="preserve">FIDO2 enrolled.</t>
  </si>
  <si>
    <t xml:space="preserve">Level 6 — Super-Admin (All)</t>
  </si>
  <si>
    <t xml:space="preserve">Time-bounded escalation via CyberArk. All sessions recorded. Break-glass SOP followed.</t>
  </si>
  <si>
    <t xml:space="preserve">Level 4 — API (Payment API)</t>
  </si>
  <si>
    <t xml:space="preserve">STALE_CREDS</t>
  </si>
  <si>
    <t xml:space="preserve">⚠ API key unrotated 312 days — exceeds 90-day policy. IAM perms include payment initiation. SEC-005.</t>
  </si>
  <si>
    <t xml:space="preserve">SVC-6002</t>
  </si>
  <si>
    <t xml:space="preserve">svc-notification</t>
  </si>
  <si>
    <t xml:space="preserve">Level 3 — API (Notif API)</t>
  </si>
  <si>
    <t xml:space="preserve">API key unrotated 201 days. Vault lease expired. Rotation request #CH-1102 stalled.</t>
  </si>
  <si>
    <t xml:space="preserve">SVC-6003</t>
  </si>
  <si>
    <t xml:space="preserve">svc-reporting-ext</t>
  </si>
  <si>
    <t xml:space="preserve">Level 2 — API (Read Only)</t>
  </si>
  <si>
    <t xml:space="preserve">API key unrotated 194 days. Used by external BI connector — rotation requires vendor coordination.</t>
  </si>
  <si>
    <t xml:space="preserve">SVC-6004</t>
  </si>
  <si>
    <t xml:space="preserve">svc-legacy-onboarding</t>
  </si>
  <si>
    <t xml:space="preserve">Level 3 — API (Write)</t>
  </si>
  <si>
    <t xml:space="preserve">2025-02-10</t>
  </si>
  <si>
    <t xml:space="preserve">API key unrotated 188 days. Service partially decommissioned — unclear if still in active use.</t>
  </si>
  <si>
    <t xml:space="preserve">SVC-6005</t>
  </si>
  <si>
    <t xml:space="preserve">svc-db-staging-rw</t>
  </si>
  <si>
    <t xml:space="preserve">Service Acct (DB)</t>
  </si>
  <si>
    <t xml:space="preserve">Level 4 — DB Write (Staging)</t>
  </si>
  <si>
    <t xml:space="preserve">⚠ CRITICAL: Static PG creds in 6 dev ~/.pgpass + 2 CI env vars. Staging has real PAN data. Unrotated 187 days. SEC-002.</t>
  </si>
  <si>
    <t xml:space="preserve">SVC-6006</t>
  </si>
  <si>
    <t xml:space="preserve">svc-cicd-pipeline</t>
  </si>
  <si>
    <t xml:space="preserve">Service Acct (Pipeline)</t>
  </si>
  <si>
    <t xml:space="preserve">Level 3 — AWS ECR/S3 Write</t>
  </si>
  <si>
    <t xml:space="preserve">OIDC federation. Short-lived tokens. No static keys. Cert valid.</t>
  </si>
  <si>
    <t xml:space="preserve">Level 5 — Admin Dashboard</t>
  </si>
  <si>
    <t xml:space="preserve">SHARED_ACCOUNT</t>
  </si>
  <si>
    <t xml:space="preserve">⚠ CRITICAL: Generic shared account — known to 4+ staff. Static password, no MFA, no Okta SSO. Last pw change: unknown. Bypasses all IdP controls. SEC-001.</t>
  </si>
  <si>
    <t xml:space="preserve">⚠ CRITICAL: Shared admin account. No MFA. Password unchanged 400+ days. Full merchant data + transaction override access.</t>
  </si>
  <si>
    <t xml:space="preserve">SHR-7003</t>
  </si>
  <si>
    <t xml:space="preserve">support-admin</t>
  </si>
  <si>
    <t xml:space="preserve">2025-04-30</t>
  </si>
  <si>
    <t xml:space="preserve">⚠ CRITICAL: Third shared account on Admin Dashboard. Unknown number of active users. Used for fee waiver approvals — zero audit trail.</t>
  </si>
  <si>
    <t xml:space="preserve">2025-01-08</t>
  </si>
  <si>
    <t xml:space="preserve">ORPHANED</t>
  </si>
  <si>
    <t xml:space="preserve">⚠ Employee terminated 2025-01-15 per HR records. Account never disabled. Active AWS IAM permissions remain. Offboarding gap.</t>
  </si>
  <si>
    <t xml:space="preserve">USR-8002</t>
  </si>
  <si>
    <t xml:space="preserve">Justine Moreau</t>
  </si>
  <si>
    <t xml:space="preserve">2024-10-22</t>
  </si>
  <si>
    <t xml:space="preserve">Suspended</t>
  </si>
  <si>
    <t xml:space="preserve">Contractor ended Oct 2024. Account suspended but not deleted. Okta license still consuming seat. AWS IAM role attachment not removed.</t>
  </si>
  <si>
    <t xml:space="preserve">2025-02-28</t>
  </si>
  <si>
    <t xml:space="preserve">Transferred to partner org Feb 2025. Internal account never deprovisioned. Still has full T2 support access to customer data.</t>
  </si>
  <si>
    <t xml:space="preserve">BRK-9001</t>
  </si>
  <si>
    <t xml:space="preserve">bg-emergency-01</t>
  </si>
  <si>
    <t xml:space="preserve">Break-Glass</t>
  </si>
  <si>
    <t xml:space="preserve">Level 6 — All Systems (Temp)</t>
  </si>
  <si>
    <t xml:space="preserve">2025-04-18</t>
  </si>
  <si>
    <t xml:space="preserve">Last use: incident INC-2025-0418. Session exceeded approved 4hr window by 6hrs — auto de-escalation not triggered. SEC-008.</t>
  </si>
  <si>
    <t xml:space="preserve">BRK-9002</t>
  </si>
  <si>
    <t xml:space="preserve">bg-emergency-02</t>
  </si>
  <si>
    <t xml:space="preserve">Last use: INC-2025-0302. Window overrun by 11hrs. Manual de-escalation performed next business day.</t>
  </si>
  <si>
    <t xml:space="preserve">SUMMARY STATISTICS</t>
  </si>
  <si>
    <t xml:space="preserve">Total Identities in Scope</t>
  </si>
  <si>
    <t xml:space="preserve">Active Accounts</t>
  </si>
  <si>
    <t xml:space="preserve">Suspended Accounts</t>
  </si>
  <si>
    <t xml:space="preserve">MFA Enabled (Yes)</t>
  </si>
  <si>
    <t xml:space="preserve">MFA Disabled / Exempt (No)</t>
  </si>
  <si>
    <t xml:space="preserve">Critical Risk Flags</t>
  </si>
  <si>
    <t xml:space="preserve">High Risk Flags</t>
  </si>
  <si>
    <t xml:space="preserve">Medium Risk Flags</t>
  </si>
  <si>
    <t xml:space="preserve">Clean (No Issues)</t>
  </si>
  <si>
    <t xml:space="preserve">Shared Accounts (Critical)</t>
  </si>
  <si>
    <t xml:space="preserve">Orphaned / Terminated Accts</t>
  </si>
  <si>
    <t xml:space="preserve">Stale Credentials</t>
  </si>
  <si>
    <t xml:space="preserve">NovaPay IAM — Risk Dashboard  |  Q2 2025</t>
  </si>
  <si>
    <t xml:space="preserve">Risk Category</t>
  </si>
  <si>
    <t xml:space="preserve">Affected IDs (Sample)</t>
  </si>
  <si>
    <t xml:space="preserve">Priority</t>
  </si>
  <si>
    <t xml:space="preserve">Remediation Owner</t>
  </si>
  <si>
    <t xml:space="preserve">Shared Accounts (No MFA/SSO)</t>
  </si>
  <si>
    <t xml:space="preserve">SHR-7001, SHR-7002, SHR-7003</t>
  </si>
  <si>
    <t xml:space="preserve">P1 — Immediate</t>
  </si>
  <si>
    <t xml:space="preserve">Security Eng + IAM Team</t>
  </si>
  <si>
    <t xml:space="preserve">Stale API / DB Credentials</t>
  </si>
  <si>
    <t xml:space="preserve">SVC-6001 (312d), SVC-6005 (187d)+3</t>
  </si>
  <si>
    <t xml:space="preserve">Platform Engineering</t>
  </si>
  <si>
    <t xml:space="preserve">Orphaned / Terminated Accounts</t>
  </si>
  <si>
    <t xml:space="preserve">USR-8001, USR-8002, USR-8003</t>
  </si>
  <si>
    <t xml:space="preserve">IT / IAM + HR Ops</t>
  </si>
  <si>
    <t xml:space="preserve">Admin Without MFA</t>
  </si>
  <si>
    <t xml:space="preserve">USR-2005 (Finance Manager)</t>
  </si>
  <si>
    <t xml:space="preserve">IAM Team + CISO</t>
  </si>
  <si>
    <t xml:space="preserve">Role Creep (Eng Lead Group)</t>
  </si>
  <si>
    <t xml:space="preserve">P2 — This Sprint</t>
  </si>
  <si>
    <t xml:space="preserve">Engineering Mgmt</t>
  </si>
  <si>
    <t xml:space="preserve">MFA Exemptions Expired</t>
  </si>
  <si>
    <t xml:space="preserve">USR-1005, USR-3002, USR-4003+2</t>
  </si>
  <si>
    <t xml:space="preserve">IT Helpdesk + IAM</t>
  </si>
  <si>
    <t xml:space="preserve">Inactive Active Accounts</t>
  </si>
  <si>
    <t xml:space="preserve">USR-1007 (166d), USR-3003 (61d)+1</t>
  </si>
  <si>
    <t xml:space="preserve">HR + IT / IAM</t>
  </si>
  <si>
    <t xml:space="preserve">Over-Privileged Users</t>
  </si>
  <si>
    <t xml:space="preserve">USR-2003 (Admin Dash edit rights)</t>
  </si>
  <si>
    <t xml:space="preserve">Finance Mgmt + IAM</t>
  </si>
  <si>
    <t xml:space="preserve">No PAM / Session Recording</t>
  </si>
  <si>
    <t xml:space="preserve">Security Engineering</t>
  </si>
  <si>
    <t xml:space="preserve">Break-Glass Overrun Windows</t>
  </si>
  <si>
    <t xml:space="preserve">BRK-9001 (+6hrs), BRK-9002 (+11hrs)</t>
  </si>
  <si>
    <t xml:space="preserve">P3 — 30 Days</t>
  </si>
  <si>
    <t xml:space="preserve">Security Ops</t>
  </si>
  <si>
    <t xml:space="preserve">VPN Split-Tunnel (DLP bypass)</t>
  </si>
  <si>
    <t xml:space="preserve">—</t>
  </si>
  <si>
    <t xml:space="preserve">All remote Engineering / Finance</t>
  </si>
  <si>
    <t xml:space="preserve">Network + Security Eng</t>
  </si>
  <si>
    <t xml:space="preserve">No VPN for Support T1</t>
  </si>
  <si>
    <t xml:space="preserve">USR-4003, USR-4004, USR-4007+2</t>
  </si>
  <si>
    <t xml:space="preserve">Support Mgmt + IT</t>
  </si>
  <si>
    <t xml:space="preserve">NovaPay — Department × System Access Matrix</t>
  </si>
  <si>
    <t xml:space="preserve">AWS Cloud</t>
  </si>
  <si>
    <t xml:space="preserve">VPN</t>
  </si>
  <si>
    <t xml:space="preserve">Database</t>
  </si>
  <si>
    <t xml:space="preserve">Read/Write</t>
  </si>
  <si>
    <t xml:space="preserve">Write (Dev/Stg)</t>
  </si>
  <si>
    <t xml:space="preserve">Read</t>
  </si>
  <si>
    <t xml:space="preserve">Full</t>
  </si>
  <si>
    <t xml:space="preserve">Read (Dev)</t>
  </si>
  <si>
    <t xml:space="preserve">Read (Fin)</t>
  </si>
  <si>
    <t xml:space="preserve">None</t>
  </si>
  <si>
    <t xml:space="preserve">Read (HR)</t>
  </si>
  <si>
    <t xml:space="preserve">None (T1 office)</t>
  </si>
  <si>
    <t xml:space="preserve">Read (Audit)</t>
  </si>
  <si>
    <t xml:space="preserve">Svc Accounts</t>
  </si>
  <si>
    <t xml:space="preserve">API Only</t>
  </si>
  <si>
    <t xml:space="preserve">Scoped Role</t>
  </si>
  <si>
    <t xml:space="preserve">Read (Schema)</t>
  </si>
  <si>
    <t xml:space="preserve">Access Level Legend</t>
  </si>
  <si>
    <t xml:space="preserve">Complete unrestricted access — highest risk tier</t>
  </si>
  <si>
    <t xml:space="preserve">Read/Write / Write</t>
  </si>
  <si>
    <t xml:space="preserve">Can create and modify records or resources</t>
  </si>
  <si>
    <t xml:space="preserve">Read (scoped)</t>
  </si>
  <si>
    <t xml:space="preserve">Read-only within defined scope</t>
  </si>
  <si>
    <t xml:space="preserve">API Only / Scoped Role</t>
  </si>
  <si>
    <t xml:space="preserve">Non-human service account access</t>
  </si>
  <si>
    <t xml:space="preserve">No access granted to this system</t>
  </si>
  <si>
    <t xml:space="preserve">NovaPay Financial Technologies — IAM Risk Assessment  |  CIA Triad Mapping  |  Q2 2025  |  CONFIDENTIAL</t>
  </si>
  <si>
    <t xml:space="preserve">Risk Score = Likelihood × Impact   |   Score 9 = CRITICAL  |  Score 4–6 = HIGH  |  Score 2–3 = MEDIUM  |  Score 1 = LOW   |   CIA: C = Confidentiality  ·  I = Integrity  ·  A = Availability</t>
  </si>
  <si>
    <t xml:space="preserve">Risk ID</t>
  </si>
  <si>
    <t xml:space="preserve">Risk Description</t>
  </si>
  <si>
    <t xml:space="preserve">Affected Identities (Count)</t>
  </si>
  <si>
    <t xml:space="preserve">Affected Systems</t>
  </si>
  <si>
    <t xml:space="preserve">CIA Triad Impact</t>
  </si>
  <si>
    <t xml:space="preserve">CIA Rationale</t>
  </si>
  <si>
    <t xml:space="preserve">Threat Vector</t>
  </si>
  <si>
    <t xml:space="preserve">Likelihood</t>
  </si>
  <si>
    <t xml:space="preserve">Impact</t>
  </si>
  <si>
    <t xml:space="preserve">Risk Level</t>
  </si>
  <si>
    <t xml:space="preserve">Regulatory Ref</t>
  </si>
  <si>
    <t xml:space="preserve">Remediation Priority</t>
  </si>
  <si>
    <t xml:space="preserve">Remediation Action</t>
  </si>
  <si>
    <t xml:space="preserve">Owner</t>
  </si>
  <si>
    <t xml:space="preserve">Status</t>
  </si>
  <si>
    <t xml:space="preserve">Finding Ref</t>
  </si>
  <si>
    <t xml:space="preserve">Shared / Generic Accounts</t>
  </si>
  <si>
    <t xml:space="preserve">Three shared accounts (svc-ops-dash, admin-shared01, support-admin) bypass Okta SSO with static passwords unchanged for 400+ days. Multiple staff hold credentials; no MFA enforced; all actions non-attributable.</t>
  </si>
  <si>
    <t xml:space="preserve">SHR-7001, SHR-7002, SHR-7003 (3 identities)</t>
  </si>
  <si>
    <t xml:space="preserve">C,I</t>
  </si>
  <si>
    <t xml:space="preserve">C: Unattributable access to merchant PII and financial data. I: Transaction overrides and fee waivers can be performed without individual accountability — integrity of audit log compromised.</t>
  </si>
  <si>
    <t xml:space="preserve">Insider threat / credential sharing; credential stuffing using leaked static passwords; no detection capability due to absent session recording.</t>
  </si>
  <si>
    <t xml:space="preserve">High</t>
  </si>
  <si>
    <t xml:space="preserve">PCI-DSS / SOC2 / FFIEC</t>
  </si>
  <si>
    <t xml:space="preserve">P1 — Immediate (&lt; 7 days)</t>
  </si>
  <si>
    <t xml:space="preserve">1) Disable shared accounts immediately. 2) Provision named accounts for all current users. 3) Enforce Okta SSO + FIDO2 MFA. 4) Deploy PAM session recording. 5) Rotate all Admin Dashboard secrets.</t>
  </si>
  <si>
    <t xml:space="preserve">IAM Team + Security Eng</t>
  </si>
  <si>
    <t xml:space="preserve">Open</t>
  </si>
  <si>
    <t xml:space="preserve">SEC-001</t>
  </si>
  <si>
    <t xml:space="preserve">Stale Credentials — Service Account (Payment API)</t>
  </si>
  <si>
    <t xml:space="preserve">svc-payment-processor API key unrotated for 312 days (3.5× policy threshold). Key is embedded in Vault but lease has expired. Account holds payment initiation permissions.</t>
  </si>
  <si>
    <t xml:space="preserve">SVC-6001 (1 identity)</t>
  </si>
  <si>
    <t xml:space="preserve">Web App — Payment API; AWS IAM</t>
  </si>
  <si>
    <t xml:space="preserve">C: Compromised key exposes payment API calls and transaction data. I: Attacker could initiate fraudulent payment transactions using valid service credentials — direct financial fraud vector.</t>
  </si>
  <si>
    <t xml:space="preserve">Credential leak via historical code repo exposure, CI/CD log scraping, or insider exfiltration. Long window of exposure amplifies blast radius.</t>
  </si>
  <si>
    <t xml:space="preserve">1) Rotate API key immediately via Vault. 2) Audit all recent API calls for anomalies. 3) Enforce Vault dynamic secrets with 24hr TTL. 4) Add rotation check to CI/CD pipeline gate.</t>
  </si>
  <si>
    <t xml:space="preserve">SEC-005</t>
  </si>
  <si>
    <t xml:space="preserve">R-003</t>
  </si>
  <si>
    <t xml:space="preserve">Stale Credentials — Staging DB with PAN Data</t>
  </si>
  <si>
    <t xml:space="preserve">svc-db-staging-rw static credentials unrotated 187 days; embedded in 6 developer ~/.pgpass files and 2 CI environment variable stores. Staging DB contains real cardholder PAN data due to failed anonymisation pipeline.</t>
  </si>
  <si>
    <t xml:space="preserve">SVC-6005 (1 identity + 6 devs with credential copies)</t>
  </si>
  <si>
    <t xml:space="preserve">Database — Staging; AWS RDS Aurora</t>
  </si>
  <si>
    <t xml:space="preserve">C: Real PAN data in staging constitutes PCI-DSS breach exposure — cardholder data accessible to all Senior Devs. I: Staging DB write access could corrupt pre-prod data used for release validation.</t>
  </si>
  <si>
    <t xml:space="preserve">Credential harvest from developer endpoints or CI environment variables. Wide credential distribution (8 locations) makes rotation complex and increases leak probability.</t>
  </si>
  <si>
    <t xml:space="preserve">1) Rotate DB credentials immediately. 2) Re-run anonymisation pipeline on staging — verify PAN data removed. 3) Enforce Vault dynamic DB credentials (15min TTL). 4) Remove ~/.pgpass files from all dev machines. 5) Raise PCI-DSS incident ticket.</t>
  </si>
  <si>
    <t xml:space="preserve">Platform Eng + DBA + Compliance</t>
  </si>
  <si>
    <t xml:space="preserve">SEC-002</t>
  </si>
  <si>
    <t xml:space="preserve">Orphaned Account — Terminated Employee (Active)</t>
  </si>
  <si>
    <t xml:space="preserve">USR-8001 (Chris Alderton) terminated 2025-01-15 per HR records. Account remains Active with valid AWS IAM permissions and Developer (Senior) access to staging infrastructure. Account has not been used since 2025-01-08 but was never disabled.</t>
  </si>
  <si>
    <t xml:space="preserve">USR-8001 (1 identity)</t>
  </si>
  <si>
    <t xml:space="preserve">Web App; AWS Cloud (Dev/Staging); VPN</t>
  </si>
  <si>
    <t xml:space="preserve">C: Former employee retains access to source code, staging infrastructure, and internal tooling. I: Malicious or accidental use of active credentials by terminated employee could modify systems with no current justification.</t>
  </si>
  <si>
    <t xml:space="preserve">Disgruntled former employee revenge access; credential reuse from prior access; external actor exploiting known-valid credentials post-termination.</t>
  </si>
  <si>
    <t xml:space="preserve">1) Disable USR-8001 in Okta immediately. 2) Revoke all AWS IAM role assignments. 3) Audit login history Jan 8–present for suspicious activity. 4) Review offboarding workflow — add HR-to-IT automated trigger. 5) Invalidate all active sessions.</t>
  </si>
  <si>
    <t xml:space="preserve">SEC-008</t>
  </si>
  <si>
    <t xml:space="preserve">R-005</t>
  </si>
  <si>
    <t xml:space="preserve">Orphaned Account — Contractor (Suspended, IAM Residue)</t>
  </si>
  <si>
    <t xml:space="preserve">USR-8002 (Justine Moreau) contractor ended Oct 2024. Okta account suspended but AWS IAM role attachment not removed. Okta licence seat still active (cost + attack surface). Suspended ≠ deprovisioned.</t>
  </si>
  <si>
    <t xml:space="preserve">USR-8002 (1 identity)</t>
  </si>
  <si>
    <t xml:space="preserve">AWS Cloud; Web App (residual)</t>
  </si>
  <si>
    <t xml:space="preserve">C</t>
  </si>
  <si>
    <t xml:space="preserve">C: Residual AWS IAM role attachment could be re-activated if Okta account is accidentally re-enabled. IAM permissions persist independently of Okta suspension status — gap between IdP and downstream systems.</t>
  </si>
  <si>
    <t xml:space="preserve">Accidental re-enablement by IT admin; IAM role re-attachment by engineer unaware of contractor status; audit finding escalated during PCI QSA review.</t>
  </si>
  <si>
    <t xml:space="preserve">Medium</t>
  </si>
  <si>
    <t xml:space="preserve">P2 — Within 14 days</t>
  </si>
  <si>
    <t xml:space="preserve">1) Remove all AWS IAM role attachments for USR-8002. 2) Delete Okta account (not suspend). 3) Revoke any API keys or tokens associated with identity. 4) Release Okta licence seat. 5) Add to deprovisioning checklist.</t>
  </si>
  <si>
    <t xml:space="preserve">IT / IAM</t>
  </si>
  <si>
    <t xml:space="preserve">R-006</t>
  </si>
  <si>
    <t xml:space="preserve">Orphaned Account — Internal Transfer (Access Not Revoked)</t>
  </si>
  <si>
    <t xml:space="preserve">USR-8003 (Nonso Eze) transferred to partner organisation Feb 2025. Internal account active with full Support T2 access to customer data (PII, transaction history). No deprovisioning triggered by transfer event.</t>
  </si>
  <si>
    <t xml:space="preserve">USR-8003 (1 identity)</t>
  </si>
  <si>
    <t xml:space="preserve">Web App; Admin Dashboard (Read)</t>
  </si>
  <si>
    <t xml:space="preserve">C: External party (partner org employee) retains access to NovaPay customer PII and transaction data — potential data protection and contractual breach. Third-party data access without active NDA/DPA in place.</t>
  </si>
  <si>
    <t xml:space="preserve">Unauthorised data access for competitive intelligence; data exfiltration to partner org; regulatory breach (state privacy laws, PCI-DSS requirement 7).</t>
  </si>
  <si>
    <t xml:space="preserve">1) Disable USR-8003 immediately. 2) Audit access logs for any activity post-transfer date (2025-02-28). 3) Review transfer/offboarding process — add 'internal transfer' as a deprovisioning trigger. 4) Notify Legal if data was accessed post-transfer.</t>
  </si>
  <si>
    <t xml:space="preserve">IT / IAM + Legal</t>
  </si>
  <si>
    <t xml:space="preserve">Admin Account Without MFA</t>
  </si>
  <si>
    <t xml:space="preserve">USR-2005 (Nadia Petrov, Finance Manager) holds Level 4 Read/Write access to Finance systems and Admin Dashboard. MFA exemption ticket #HD-4102 expired 2025-03-01. Escalation to CISO on record — no action taken in 45+ days.</t>
  </si>
  <si>
    <t xml:space="preserve">USR-2005 (1 identity)</t>
  </si>
  <si>
    <t xml:space="preserve">Admin Dashboard; Web App (Finance); VPN</t>
  </si>
  <si>
    <t xml:space="preserve">C: Finance Manager access to merchant accounts and financial records protected only by password. I: Finance Manager can approve transactions and modify financial records — compromise enables fraudulent approvals without MFA gate.</t>
  </si>
  <si>
    <t xml:space="preserve">Password spray / credential stuffing against Finance Manager; phishing targeting finance staff (high-value target); brute force of static password.</t>
  </si>
  <si>
    <t xml:space="preserve">1) Enforce MFA immediately — suspend access until enrolled. 2) Escalate to CISO with SLA for resolution. 3) Audit all Finance Manager actions since exemption lapse. 4) Establish formal risk acceptance process with mandatory CISO sign-off for future exemptions.</t>
  </si>
  <si>
    <t xml:space="preserve">SEC-006</t>
  </si>
  <si>
    <t xml:space="preserve">Role Creep — Unrevoked Engineering Lead Permissions</t>
  </si>
  <si>
    <t xml:space="preserve">3 Developer (Senior) accounts (USR-1001, USR-1004, USR-1008) retain Engineering Lead Okta group membership from Mar 2024 restructure. Grants elevated Write access to staging infrastructure and broader AWS permissions beyond current job function.</t>
  </si>
  <si>
    <t xml:space="preserve">USR-1001, USR-1004, USR-1008 (3 identities)</t>
  </si>
  <si>
    <t xml:space="preserve">AWS Cloud (Staging); Web App; VPN</t>
  </si>
  <si>
    <t xml:space="preserve">I,A</t>
  </si>
  <si>
    <t xml:space="preserve">I: Excess write permissions to staging infra could allow unintended or malicious modification of pre-release code or infrastructure config. A: Overprivileged accounts increase blast radius of credential compromise — attacker gains staging infra write access.</t>
  </si>
  <si>
    <t xml:space="preserve">Credential compromise of any of the 3 accounts yields higher-than-expected blast radius. Insider misuse of retained permissions for privilege escalation or sabotage.</t>
  </si>
  <si>
    <t xml:space="preserve">1) Remove Engineering Lead Okta group from USR-1001, USR-1004, USR-1008. 2) Re-provision with correct Developer (Senior) role only. 3) Run full access certification for Engineering dept. 4) Enforce SailPoint risky-role detection rule for group membership mismatches.</t>
  </si>
  <si>
    <t xml:space="preserve">Engineering Mgmt + IAM</t>
  </si>
  <si>
    <t xml:space="preserve">SEC-004</t>
  </si>
  <si>
    <t xml:space="preserve">R-009</t>
  </si>
  <si>
    <t xml:space="preserve">Over-Privileged User — Finance Analyst with Admin Edit Rights</t>
  </si>
  <si>
    <t xml:space="preserve">USR-2003 (Yuki Tanaka, Finance Analyst) incorrectly provisioned with Admin Dashboard edit rights during onboarding. RBAC matrix specifies Finance Analysts as Read-only on Admin Dashboard. Provisioning error undetected in quarterly cert.</t>
  </si>
  <si>
    <t xml:space="preserve">USR-2003 (1 identity)</t>
  </si>
  <si>
    <t xml:space="preserve">I</t>
  </si>
  <si>
    <t xml:space="preserve">I: Finance Analyst with edit rights can modify operational records, transaction data, or system configuration beyond their role scope — undermines maker-checker integrity control in Finance workflow.</t>
  </si>
  <si>
    <t xml:space="preserve">Accidental data modification by user unaware of excess rights; insider abuse of edit access to manipulate records; audit finding during QSA PCI-DSS review.</t>
  </si>
  <si>
    <t xml:space="preserve">1) Remove Admin Dashboard edit rights from USR-2003. 2) Re-provision with Read-only Finance Analyst role. 3) Review all Finance Analyst accounts for similar provisioning errors. 4) Add RBAC matrix validation step to onboarding checklist.</t>
  </si>
  <si>
    <t xml:space="preserve">MFA Exemptions — Expired / Unenforced (5 Accounts)</t>
  </si>
  <si>
    <t xml:space="preserve">5 human accounts (USR-1005, USR-3002, USR-4003, USR-4004, USR-4007) have active MFA exemptions ranging from 45–125 days old. Policy mandates 30-day expiry with CISO re-approval. USR-4007 (Support T2) accesses customer PII without MFA.</t>
  </si>
  <si>
    <t xml:space="preserve">USR-1005, USR-3002, USR-4003, USR-4004, USR-4007 (5 identities)</t>
  </si>
  <si>
    <t xml:space="preserve">Web App; VPN; HR Systems</t>
  </si>
  <si>
    <t xml:space="preserve">C: MFA-exempt accounts accessing customer PII (USR-4007), HR data (USR-3002), and source code (USR-1005) are protected by password alone. Single-factor breach exposes sensitive data with no second gate.</t>
  </si>
  <si>
    <t xml:space="preserve">Phishing campaign against support/HR staff (common target); credential stuffing of breached password lists; password spray exploiting weak or reused passwords.</t>
  </si>
  <si>
    <t xml:space="preserve">1) Revoke all expired MFA exemptions immediately — require re-enrolment. 2) Block access for non-compliant accounts until MFA enrolled. 3) Establish formal exemption process: written justification + CISO approval + 30-day auto-expiry in Okta. 4) Prioritise USR-4007 given PII access.</t>
  </si>
  <si>
    <t xml:space="preserve">IT Helpdesk + IAM + CISO</t>
  </si>
  <si>
    <t xml:space="preserve">R-011</t>
  </si>
  <si>
    <t xml:space="preserve">Inactive Accounts — No Suspension (3 Accounts)</t>
  </si>
  <si>
    <t xml:space="preserve">3 accounts inactive for 61–166 days (USR-1007: 166 days, USR-4006: 161 days, USR-3003: 61 days) remain Active status. Policy threshold for review is 90 days. USR-1007 retains Dev Senior write access to staging; USR-4006 was flagged as possible ghost account.</t>
  </si>
  <si>
    <t xml:space="preserve">USR-1007, USR-4006, USR-3003 (3 identities)</t>
  </si>
  <si>
    <t xml:space="preserve">Web App; AWS Cloud (Staging); HR Systems</t>
  </si>
  <si>
    <t xml:space="preserve">C,A</t>
  </si>
  <si>
    <t xml:space="preserve">C: Dormant accounts with valid credentials are invisible attack vectors — compromise goes undetected due to no activity baseline. A: Inactive accounts never trigger anomaly detection; attacker-controlled dormant account provides persistent low-noise access.</t>
  </si>
  <si>
    <t xml:space="preserve">Attacker using dormant valid credentials acquired via prior breach (no recent activity to trigger anomaly detection); ghost account exploited for persistent access by insider or external threat.</t>
  </si>
  <si>
    <t xml:space="preserve">P3 — Within 30 days</t>
  </si>
  <si>
    <t xml:space="preserve">1) Suspend USR-1007 and USR-4006 immediately (&gt;90 day threshold exceeded). 2) Confirm USR-3003 leave status with HR — suspend if unconfirmed. 3) Enforce automated 90-day inactivity suspension in Okta. 4) Audit inactive account list quarterly.</t>
  </si>
  <si>
    <t xml:space="preserve">SEC-003</t>
  </si>
  <si>
    <t xml:space="preserve">R-012</t>
  </si>
  <si>
    <t xml:space="preserve">Stale Credentials — Non-Payment Service Accounts (3 Accounts)</t>
  </si>
  <si>
    <t xml:space="preserve">SVC-6002 (201 days), SVC-6003 (194 days), SVC-6004 (188 days) exceed 90-day rotation policy. SVC-6004 is a partially decommissioned service with unclear active use — unknown attack surface.</t>
  </si>
  <si>
    <t xml:space="preserve">SVC-6002, SVC-6003, SVC-6004 (3 identities)</t>
  </si>
  <si>
    <t xml:space="preserve">Web App APIs; AWS IAM; Finance BI connector</t>
  </si>
  <si>
    <t xml:space="preserve">C: Long-lived API keys increase probability of credential exposure via log files, error messages, or historical repo commits. I: SVC-6004 unknown decommission status — writes to an unclear scope with stale credentials, unpredictable data integrity impact.</t>
  </si>
  <si>
    <t xml:space="preserve">API key exposure via application logs, error responses, or historical Git commits. SVC-6004 represents unknown-scope write access — dead-code execution risk.</t>
  </si>
  <si>
    <t xml:space="preserve">1) Rotate SVC-6002 and SVC-6003 API keys via HashiCorp Vault. 2) Audit SVC-6004 usage — if unused, revoke immediately and delete service account. 3) Enforce Vault dynamic leases for all service accounts. 4) Add rotation SLA to CI/CD pipeline alerts.</t>
  </si>
  <si>
    <t xml:space="preserve">R-013</t>
  </si>
  <si>
    <t xml:space="preserve">No PAM / Session Recording on Admin Dashboard</t>
  </si>
  <si>
    <t xml:space="preserve">Admin Dashboard privileged actions (transaction overrides, account freezes, fee waivers) are not routed through a PAM solution. Application-layer logs capture action type but not full session context. Shared accounts (R-001) further eliminate individual attribution.</t>
  </si>
  <si>
    <t xml:space="preserve">SHR-7001, SHR-7002, SHR-7003 + all named Admin users (10+ identities)</t>
  </si>
  <si>
    <t xml:space="preserve">I: Without session recording, integrity of privileged actions cannot be forensically verified. Insider threat incidents, regulatory audits, and incident response investigations are severely limited — 'who did what' cannot be answered.</t>
  </si>
  <si>
    <t xml:space="preserve">Insider manipulation of transaction records or account balances without forensic traceability. Regulatory audit failure — PCI-DSS requirement 10 mandates logging of all individual access to cardholder data.</t>
  </si>
  <si>
    <t xml:space="preserve">1) Deploy PAM solution (CyberArk / BeyondTrust) as proxy for all Admin Dashboard access. 2) Enforce session recording for admin-level and shared accounts. 3) Feed session recordings to SIEM. 4) Set 90-day log retention aligned to PCI-DSS requirement 10.</t>
  </si>
  <si>
    <t xml:space="preserve">SEC-007</t>
  </si>
  <si>
    <t xml:space="preserve">R-014</t>
  </si>
  <si>
    <t xml:space="preserve">VPN Split-Tunneling Bypasses DLP Controls</t>
  </si>
  <si>
    <t xml:space="preserve">GlobalProtect configured in split-tunnel mode — internet-bound traffic from remote Engineering and Finance endpoints is not routed through corporate DLP or proxy. Affected users have access to Restricted data (PAN, financial records, source code).</t>
  </si>
  <si>
    <t xml:space="preserve">All remote Engineering (65) + Finance (30) users = ~95 identities</t>
  </si>
  <si>
    <t xml:space="preserve">VPN; Web App; AWS Cloud</t>
  </si>
  <si>
    <t xml:space="preserve">C: Source code, PAN data, and financial records can be exfiltrated to personal cloud storage (Dropbox, Google Drive) without detection. DLP controls are completely blind to remote worker traffic — data leakage undetectable and unblockable.</t>
  </si>
  <si>
    <t xml:space="preserve">Insider data exfiltration to personal cloud storage or external devices; malware on remote endpoint exfiltrating data via direct internet path without proxy inspection.</t>
  </si>
  <si>
    <t xml:space="preserve">1) Enable full-tunnel VPN for all users with Restricted data access (Engineering, Finance). 2) Implement CASB integration for cloud storage detection. 3) Deploy endpoint DLP agent as compensating control for remote workers. 4) Review and document any legitimate split-tunnel use cases.</t>
  </si>
  <si>
    <t xml:space="preserve">Network Eng + Security</t>
  </si>
  <si>
    <t xml:space="preserve">Break-Glass Account — Automated De-escalation Not Enforced</t>
  </si>
  <si>
    <t xml:space="preserve">BRK-9001 and BRK-9002 break-glass accounts overran approved 4-hour windows by 6 and 11 hours respectively in the last 12 months. De-escalation relies on manual step by on-call security engineer — no automated enforcement exists.</t>
  </si>
  <si>
    <t xml:space="preserve">BRK-9001, BRK-9002 (2 identities)</t>
  </si>
  <si>
    <t xml:space="preserve">All Systems (Level 6 access)</t>
  </si>
  <si>
    <t xml:space="preserve">C,I,A</t>
  </si>
  <si>
    <t xml:space="preserve">C: Super-admin break-glass access persisting beyond approved window exposes all systems to over-privileged access without active incident justification. I: Unconstrained break-glass access could modify production configs or data without incident-scoped justification. A: Abuse of break-glass could affect system availability.</t>
  </si>
  <si>
    <t xml:space="preserve">On-call engineer fatigue leading to missed de-escalation. Compromised break-glass credentials used during overrun window for lateral movement under cover of legitimate incident activity.</t>
  </si>
  <si>
    <t xml:space="preserve">Low</t>
  </si>
  <si>
    <t xml:space="preserve">1) Implement AWS IAM session policy with hard 4-hour TTL for break-glass role assumption. 2) Configure Okta time-bounded group membership with automated removal. 3) Alert SIEM and security lead if break-glass session exceeds approved window. 4) Add post-incident review of break-glass usage as standard SOP step.</t>
  </si>
  <si>
    <t xml:space="preserve">Security Ops + IAM</t>
  </si>
  <si>
    <t xml:space="preserve">RISK SUMMARY SCORECARD</t>
  </si>
  <si>
    <t xml:space="preserve">CIA DISTRIBUTION</t>
  </si>
  <si>
    <t xml:space="preserve">CRITICAL Risks</t>
  </si>
  <si>
    <t xml:space="preserve">Confidentiality (C) affected</t>
  </si>
  <si>
    <t xml:space="preserve">HIGH Risks</t>
  </si>
  <si>
    <t xml:space="preserve">Integrity (I) affected</t>
  </si>
  <si>
    <t xml:space="preserve">MEDIUM Risks</t>
  </si>
  <si>
    <t xml:space="preserve">Availability (A) affected</t>
  </si>
  <si>
    <t xml:space="preserve">LOW Risks</t>
  </si>
  <si>
    <t xml:space="preserve">Total Risks</t>
  </si>
  <si>
    <t xml:space="preserve">Open Findings</t>
  </si>
</sst>
</file>

<file path=xl/styles.xml><?xml version="1.0" encoding="utf-8"?>
<styleSheet xmlns="http://schemas.openxmlformats.org/spreadsheetml/2006/main">
  <numFmts count="2">
    <numFmt numFmtId="164" formatCode="General"/>
    <numFmt numFmtId="165" formatCode="General"/>
  </numFmts>
  <fonts count="4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9"/>
      <color rgb="FFFFFFFF"/>
      <name val="Arial"/>
      <family val="0"/>
      <charset val="1"/>
    </font>
    <font>
      <sz val="9"/>
      <color rgb="FF1A2744"/>
      <name val="Courier New"/>
      <family val="0"/>
      <charset val="1"/>
    </font>
    <font>
      <sz val="9"/>
      <color rgb="FF1A2744"/>
      <name val="Arial"/>
      <family val="0"/>
      <charset val="1"/>
    </font>
    <font>
      <b val="true"/>
      <sz val="9"/>
      <color rgb="FF1E7E34"/>
      <name val="Arial"/>
      <family val="0"/>
      <charset val="1"/>
    </font>
    <font>
      <b val="true"/>
      <sz val="9"/>
      <color rgb="FF1A2744"/>
      <name val="Arial"/>
      <family val="0"/>
      <charset val="1"/>
    </font>
    <font>
      <i val="true"/>
      <sz val="8"/>
      <color rgb="FF444444"/>
      <name val="Arial"/>
      <family val="0"/>
      <charset val="1"/>
    </font>
    <font>
      <b val="true"/>
      <sz val="9"/>
      <color rgb="FFD35400"/>
      <name val="Arial"/>
      <family val="0"/>
      <charset val="1"/>
    </font>
    <font>
      <b val="true"/>
      <sz val="9"/>
      <color rgb="FFC0392B"/>
      <name val="Arial"/>
      <family val="0"/>
      <charset val="1"/>
    </font>
    <font>
      <b val="true"/>
      <sz val="9"/>
      <color rgb="FFD4A017"/>
      <name val="Arial"/>
      <family val="0"/>
      <charset val="1"/>
    </font>
    <font>
      <b val="true"/>
      <sz val="10"/>
      <color rgb="FF1A2744"/>
      <name val="Arial"/>
      <family val="0"/>
      <charset val="1"/>
    </font>
    <font>
      <b val="true"/>
      <sz val="9"/>
      <color rgb="FF1565C0"/>
      <name val="Arial"/>
      <family val="0"/>
      <charset val="1"/>
    </font>
    <font>
      <sz val="8"/>
      <color rgb="FF444444"/>
      <name val="Arial"/>
      <family val="0"/>
      <charset val="1"/>
    </font>
    <font>
      <sz val="9"/>
      <color rgb="FF1565C0"/>
      <name val="Arial"/>
      <family val="0"/>
      <charset val="1"/>
    </font>
    <font>
      <b val="true"/>
      <sz val="10"/>
      <color rgb="FFFFFFFF"/>
      <name val="Arial"/>
      <family val="0"/>
      <charset val="1"/>
    </font>
    <font>
      <b val="true"/>
      <sz val="9"/>
      <color rgb="FF2E5FA3"/>
      <name val="Arial"/>
      <family val="0"/>
      <charset val="1"/>
    </font>
    <font>
      <sz val="9"/>
      <name val="Arial"/>
      <family val="0"/>
      <charset val="1"/>
    </font>
    <font>
      <b val="true"/>
      <sz val="9"/>
      <color rgb="FF1A7A4A"/>
      <name val="Arial"/>
      <family val="0"/>
      <charset val="1"/>
    </font>
    <font>
      <sz val="9"/>
      <color rgb="FF1A7A4A"/>
      <name val="Arial"/>
      <family val="0"/>
      <charset val="1"/>
    </font>
    <font>
      <b val="true"/>
      <sz val="9"/>
      <color rgb="FFB7770D"/>
      <name val="Arial"/>
      <family val="0"/>
      <charset val="1"/>
    </font>
    <font>
      <b val="true"/>
      <sz val="9"/>
      <color rgb="FF5B2D8E"/>
      <name val="Arial"/>
      <family val="0"/>
      <charset val="1"/>
    </font>
    <font>
      <sz val="9"/>
      <color rgb="FF9BA3B8"/>
      <name val="Arial"/>
      <family val="0"/>
      <charset val="1"/>
    </font>
    <font>
      <b val="true"/>
      <sz val="9"/>
      <color rgb="FF922B21"/>
      <name val="Arial"/>
      <family val="0"/>
      <charset val="1"/>
    </font>
    <font>
      <sz val="9"/>
      <color rgb="FFB7770D"/>
      <name val="Arial"/>
      <family val="0"/>
      <charset val="1"/>
    </font>
    <font>
      <b val="true"/>
      <sz val="9"/>
      <name val="Arial"/>
      <family val="0"/>
      <charset val="1"/>
    </font>
    <font>
      <b val="true"/>
      <sz val="12"/>
      <color rgb="FFFFFFFF"/>
      <name val="Arial"/>
      <family val="0"/>
      <charset val="1"/>
    </font>
    <font>
      <b val="true"/>
      <sz val="9"/>
      <color rgb="FF1B3A6B"/>
      <name val="Arial"/>
      <family val="0"/>
      <charset val="1"/>
    </font>
    <font>
      <sz val="9"/>
      <color rgb="FF2E5FA3"/>
      <name val="Arial"/>
      <family val="0"/>
      <charset val="1"/>
    </font>
    <font>
      <sz val="9"/>
      <color rgb="FFAAAAAA"/>
      <name val="Arial"/>
      <family val="0"/>
      <charset val="1"/>
    </font>
    <font>
      <sz val="9"/>
      <color rgb="FF5B2D8E"/>
      <name val="Arial"/>
      <family val="0"/>
      <charset val="1"/>
    </font>
    <font>
      <b val="true"/>
      <sz val="9"/>
      <color rgb="FFAAAAAA"/>
      <name val="Arial"/>
      <family val="0"/>
      <charset val="1"/>
    </font>
    <font>
      <i val="true"/>
      <sz val="9"/>
      <color rgb="FFFFFFFF"/>
      <name val="Arial"/>
      <family val="0"/>
      <charset val="1"/>
    </font>
    <font>
      <sz val="9"/>
      <color rgb="FF1A1A2E"/>
      <name val="Arial"/>
      <family val="0"/>
      <charset val="1"/>
    </font>
    <font>
      <b val="true"/>
      <sz val="10"/>
      <color rgb="FF922B21"/>
      <name val="Arial"/>
      <family val="0"/>
      <charset val="1"/>
    </font>
    <font>
      <b val="true"/>
      <sz val="14"/>
      <color rgb="FF922B21"/>
      <name val="Arial"/>
      <family val="0"/>
      <charset val="1"/>
    </font>
    <font>
      <b val="true"/>
      <sz val="9"/>
      <color rgb="FF7D5A0B"/>
      <name val="Arial"/>
      <family val="0"/>
      <charset val="1"/>
    </font>
    <font>
      <b val="true"/>
      <sz val="10"/>
      <color rgb="FF5B2D8E"/>
      <name val="Arial"/>
      <family val="0"/>
      <charset val="1"/>
    </font>
    <font>
      <b val="true"/>
      <sz val="10"/>
      <color rgb="FF7D5A0B"/>
      <name val="Arial"/>
      <family val="0"/>
      <charset val="1"/>
    </font>
    <font>
      <b val="true"/>
      <sz val="14"/>
      <color rgb="FF7D5A0B"/>
      <name val="Arial"/>
      <family val="0"/>
      <charset val="1"/>
    </font>
    <font>
      <b val="true"/>
      <sz val="9"/>
      <color rgb="FF155E38"/>
      <name val="Arial"/>
      <family val="0"/>
      <charset val="1"/>
    </font>
    <font>
      <b val="true"/>
      <sz val="14"/>
      <color rgb="FF2E5FA3"/>
      <name val="Arial"/>
      <family val="0"/>
      <charset val="1"/>
    </font>
  </fonts>
  <fills count="23">
    <fill>
      <patternFill patternType="none"/>
    </fill>
    <fill>
      <patternFill patternType="gray125"/>
    </fill>
    <fill>
      <patternFill patternType="solid">
        <fgColor rgb="FF1A2744"/>
        <bgColor rgb="FF1A1A2E"/>
      </patternFill>
    </fill>
    <fill>
      <patternFill patternType="solid">
        <fgColor rgb="FF1E3A5F"/>
        <bgColor rgb="FF1B3A6B"/>
      </patternFill>
    </fill>
    <fill>
      <patternFill patternType="solid">
        <fgColor rgb="FFF5F7FA"/>
        <bgColor rgb="FFF4F6FB"/>
      </patternFill>
    </fill>
    <fill>
      <patternFill patternType="solid">
        <fgColor rgb="FFFEF0E7"/>
        <bgColor rgb="FFFDECEA"/>
      </patternFill>
    </fill>
    <fill>
      <patternFill patternType="solid">
        <fgColor rgb="FFFDECEA"/>
        <bgColor rgb="FFFEF0E7"/>
      </patternFill>
    </fill>
    <fill>
      <patternFill patternType="solid">
        <fgColor rgb="FFFEF9E7"/>
        <bgColor rgb="FFFFF8E1"/>
      </patternFill>
    </fill>
    <fill>
      <patternFill patternType="solid">
        <fgColor rgb="FFEAF5EA"/>
        <bgColor rgb="FFE8F5EE"/>
      </patternFill>
    </fill>
    <fill>
      <patternFill patternType="solid">
        <fgColor rgb="FF1B3A6B"/>
        <bgColor rgb="FF1E3A5F"/>
      </patternFill>
    </fill>
    <fill>
      <patternFill patternType="solid">
        <fgColor rgb="FFD6E4F7"/>
        <bgColor rgb="FFE8EBF2"/>
      </patternFill>
    </fill>
    <fill>
      <patternFill patternType="solid">
        <fgColor rgb="FFFFFFFF"/>
        <bgColor rgb="FFF8F9FD"/>
      </patternFill>
    </fill>
    <fill>
      <patternFill patternType="solid">
        <fgColor rgb="FFE8F5EE"/>
        <bgColor rgb="FFEAF5EA"/>
      </patternFill>
    </fill>
    <fill>
      <patternFill patternType="solid">
        <fgColor rgb="FFFEF3DC"/>
        <bgColor rgb="FFFFF8E1"/>
      </patternFill>
    </fill>
    <fill>
      <patternFill patternType="solid">
        <fgColor rgb="FFEEF2FA"/>
        <bgColor rgb="FFEEF4FF"/>
      </patternFill>
    </fill>
    <fill>
      <patternFill patternType="solid">
        <fgColor rgb="FFFFF8E1"/>
        <bgColor rgb="FFFEF9E7"/>
      </patternFill>
    </fill>
    <fill>
      <patternFill patternType="solid">
        <fgColor rgb="FFF0EBF8"/>
        <bgColor rgb="FFE8EBF2"/>
      </patternFill>
    </fill>
    <fill>
      <patternFill patternType="solid">
        <fgColor rgb="FFF4F6FB"/>
        <bgColor rgb="FFF5F7FA"/>
      </patternFill>
    </fill>
    <fill>
      <patternFill patternType="solid">
        <fgColor rgb="FF2E5FA3"/>
        <bgColor rgb="FF1565C0"/>
      </patternFill>
    </fill>
    <fill>
      <patternFill patternType="solid">
        <fgColor rgb="FFEEF4FF"/>
        <bgColor rgb="FFEEF2FA"/>
      </patternFill>
    </fill>
    <fill>
      <patternFill patternType="solid">
        <fgColor rgb="FFF4F4F4"/>
        <bgColor rgb="FFF4F6FB"/>
      </patternFill>
    </fill>
    <fill>
      <patternFill patternType="solid">
        <fgColor rgb="FFF8F9FD"/>
        <bgColor rgb="FFF5F7FA"/>
      </patternFill>
    </fill>
    <fill>
      <patternFill patternType="solid">
        <fgColor rgb="FFE8EBF2"/>
        <bgColor rgb="FFF0EBF8"/>
      </patternFill>
    </fill>
  </fills>
  <borders count="5">
    <border diagonalUp="false" diagonalDown="false">
      <left/>
      <right/>
      <top/>
      <bottom/>
      <diagonal/>
    </border>
    <border diagonalUp="false" diagonalDown="false">
      <left style="thin">
        <color rgb="FFB0BEC5"/>
      </left>
      <right style="thin">
        <color rgb="FFB0BEC5"/>
      </right>
      <top style="thin">
        <color rgb="FFB0BEC5"/>
      </top>
      <bottom style="thin">
        <color rgb="FFB0BEC5"/>
      </bottom>
      <diagonal/>
    </border>
    <border diagonalUp="false" diagonalDown="false">
      <left style="thin">
        <color rgb="FF1B3A6B"/>
      </left>
      <right style="thin">
        <color rgb="FF1B3A6B"/>
      </right>
      <top style="thin">
        <color rgb="FF1B3A6B"/>
      </top>
      <bottom style="thin">
        <color rgb="FF1B3A6B"/>
      </bottom>
      <diagonal/>
    </border>
    <border diagonalUp="false" diagonalDown="false">
      <left style="thin">
        <color rgb="FFD0D5E8"/>
      </left>
      <right style="thin">
        <color rgb="FFD0D5E8"/>
      </right>
      <top style="thin">
        <color rgb="FFD0D5E8"/>
      </top>
      <bottom style="thin">
        <color rgb="FFD0D5E8"/>
      </bottom>
      <diagonal/>
    </border>
    <border diagonalUp="false" diagonalDown="false">
      <left style="thin">
        <color rgb="FF2E5FA3"/>
      </left>
      <right style="thin">
        <color rgb="FF2E5FA3"/>
      </right>
      <top style="thin">
        <color rgb="FF2E5FA3"/>
      </top>
      <bottom style="thin">
        <color rgb="FF2E5FA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4" fillId="9" borderId="0" xfId="0" applyFont="true" applyBorder="true" applyAlignment="true" applyProtection="false">
      <alignment horizontal="center" vertical="center" textRotation="0" wrapText="false" indent="0" shrinkToFit="false"/>
      <protection locked="true" hidden="false"/>
    </xf>
    <xf numFmtId="164" fontId="18" fillId="9" borderId="2" xfId="0" applyFont="true" applyBorder="true" applyAlignment="true" applyProtection="false">
      <alignment horizontal="center" vertical="center" textRotation="0" wrapText="true" indent="0" shrinkToFit="false"/>
      <protection locked="true" hidden="false"/>
    </xf>
    <xf numFmtId="164" fontId="19" fillId="10" borderId="3" xfId="0" applyFont="true" applyBorder="true" applyAlignment="true" applyProtection="false">
      <alignment horizontal="center" vertical="top" textRotation="0" wrapText="false" indent="0" shrinkToFit="false"/>
      <protection locked="true" hidden="false"/>
    </xf>
    <xf numFmtId="164" fontId="20" fillId="11" borderId="3" xfId="0" applyFont="true" applyBorder="true" applyAlignment="true" applyProtection="false">
      <alignment horizontal="general" vertical="top" textRotation="0" wrapText="false" indent="0" shrinkToFit="false"/>
      <protection locked="true" hidden="false"/>
    </xf>
    <xf numFmtId="164" fontId="21" fillId="12" borderId="3" xfId="0" applyFont="true" applyBorder="true" applyAlignment="true" applyProtection="false">
      <alignment horizontal="center" vertical="top" textRotation="0" wrapText="false" indent="0" shrinkToFit="false"/>
      <protection locked="true" hidden="false"/>
    </xf>
    <xf numFmtId="164" fontId="22" fillId="12" borderId="3" xfId="0" applyFont="true" applyBorder="true" applyAlignment="true" applyProtection="false">
      <alignment horizontal="center" vertical="top" textRotation="0" wrapText="false" indent="0" shrinkToFit="false"/>
      <protection locked="true" hidden="false"/>
    </xf>
    <xf numFmtId="164" fontId="23" fillId="13" borderId="3" xfId="0" applyFont="true" applyBorder="true" applyAlignment="true" applyProtection="false">
      <alignment horizontal="center" vertical="top" textRotation="0" wrapText="false" indent="0" shrinkToFit="false"/>
      <protection locked="true" hidden="false"/>
    </xf>
    <xf numFmtId="164" fontId="20" fillId="11" borderId="3" xfId="0" applyFont="true" applyBorder="true" applyAlignment="true" applyProtection="false">
      <alignment horizontal="general" vertical="top" textRotation="0" wrapText="true" indent="0" shrinkToFit="false"/>
      <protection locked="true" hidden="false"/>
    </xf>
    <xf numFmtId="164" fontId="20" fillId="14" borderId="3" xfId="0" applyFont="true" applyBorder="true" applyAlignment="true" applyProtection="false">
      <alignment horizontal="general" vertical="top" textRotation="0" wrapText="false" indent="0" shrinkToFit="false"/>
      <protection locked="true" hidden="false"/>
    </xf>
    <xf numFmtId="164" fontId="20" fillId="14" borderId="3" xfId="0" applyFont="true" applyBorder="true" applyAlignment="true" applyProtection="false">
      <alignment horizontal="general" vertical="top" textRotation="0" wrapText="true" indent="0" shrinkToFit="false"/>
      <protection locked="true" hidden="false"/>
    </xf>
    <xf numFmtId="164" fontId="12" fillId="6" borderId="3" xfId="0" applyFont="true" applyBorder="true" applyAlignment="true" applyProtection="false">
      <alignment horizontal="center" vertical="top" textRotation="0" wrapText="false" indent="0" shrinkToFit="false"/>
      <protection locked="true" hidden="false"/>
    </xf>
    <xf numFmtId="164" fontId="23" fillId="15" borderId="3" xfId="0" applyFont="true" applyBorder="true" applyAlignment="true" applyProtection="false">
      <alignment horizontal="center" vertical="top" textRotation="0" wrapText="false" indent="0" shrinkToFit="false"/>
      <protection locked="true" hidden="false"/>
    </xf>
    <xf numFmtId="164" fontId="24" fillId="16" borderId="3" xfId="0" applyFont="true" applyBorder="true" applyAlignment="true" applyProtection="false">
      <alignment horizontal="center" vertical="top" textRotation="0" wrapText="false" indent="0" shrinkToFit="false"/>
      <protection locked="true" hidden="false"/>
    </xf>
    <xf numFmtId="164" fontId="25" fillId="17" borderId="3" xfId="0" applyFont="true" applyBorder="true" applyAlignment="true" applyProtection="false">
      <alignment horizontal="center" vertical="top" textRotation="0" wrapText="false" indent="0" shrinkToFit="false"/>
      <protection locked="true" hidden="false"/>
    </xf>
    <xf numFmtId="164" fontId="26" fillId="6" borderId="3" xfId="0" applyFont="true" applyBorder="true" applyAlignment="true" applyProtection="false">
      <alignment horizontal="center" vertical="top" textRotation="0" wrapText="false" indent="0" shrinkToFit="false"/>
      <protection locked="true" hidden="false"/>
    </xf>
    <xf numFmtId="164" fontId="27" fillId="13" borderId="3" xfId="0" applyFont="true" applyBorder="true" applyAlignment="true" applyProtection="false">
      <alignment horizontal="center" vertical="top" textRotation="0" wrapText="false" indent="0" shrinkToFit="false"/>
      <protection locked="true" hidden="false"/>
    </xf>
    <xf numFmtId="164" fontId="18" fillId="9" borderId="0" xfId="0" applyFont="true" applyBorder="true" applyAlignment="true" applyProtection="false">
      <alignment horizontal="center" vertical="bottom" textRotation="0" wrapText="false" indent="0" shrinkToFit="false"/>
      <protection locked="true" hidden="false"/>
    </xf>
    <xf numFmtId="164" fontId="28" fillId="14" borderId="3" xfId="0" applyFont="true" applyBorder="true" applyAlignment="false" applyProtection="false">
      <alignment horizontal="general" vertical="bottom" textRotation="0" wrapText="false" indent="0" shrinkToFit="false"/>
      <protection locked="true" hidden="false"/>
    </xf>
    <xf numFmtId="165" fontId="20" fillId="11" borderId="3" xfId="0" applyFont="true" applyBorder="true" applyAlignment="true" applyProtection="false">
      <alignment horizontal="center" vertical="bottom" textRotation="0" wrapText="false" indent="0" shrinkToFit="false"/>
      <protection locked="true" hidden="false"/>
    </xf>
    <xf numFmtId="164" fontId="29" fillId="9" borderId="0" xfId="0" applyFont="true" applyBorder="true" applyAlignment="true" applyProtection="false">
      <alignment horizontal="center" vertical="center" textRotation="0" wrapText="false" indent="0" shrinkToFit="false"/>
      <protection locked="true" hidden="false"/>
    </xf>
    <xf numFmtId="164" fontId="18" fillId="18" borderId="4" xfId="0" applyFont="true" applyBorder="true" applyAlignment="true" applyProtection="false">
      <alignment horizontal="center" vertical="center" textRotation="0" wrapText="true" indent="0" shrinkToFit="false"/>
      <protection locked="true" hidden="false"/>
    </xf>
    <xf numFmtId="164" fontId="30" fillId="11" borderId="3" xfId="0" applyFont="true" applyBorder="true" applyAlignment="true" applyProtection="false">
      <alignment horizontal="general" vertical="top" textRotation="0" wrapText="true" indent="0" shrinkToFit="false"/>
      <protection locked="true" hidden="false"/>
    </xf>
    <xf numFmtId="164" fontId="19" fillId="11" borderId="3" xfId="0" applyFont="true" applyBorder="true" applyAlignment="true" applyProtection="false">
      <alignment horizontal="center" vertical="top" textRotation="0" wrapText="false" indent="0" shrinkToFit="false"/>
      <protection locked="true" hidden="false"/>
    </xf>
    <xf numFmtId="164" fontId="30" fillId="14" borderId="3" xfId="0" applyFont="true" applyBorder="true" applyAlignment="true" applyProtection="false">
      <alignment horizontal="general" vertical="top" textRotation="0" wrapText="true" indent="0" shrinkToFit="false"/>
      <protection locked="true" hidden="false"/>
    </xf>
    <xf numFmtId="164" fontId="19" fillId="14" borderId="3" xfId="0" applyFont="true" applyBorder="true" applyAlignment="true" applyProtection="false">
      <alignment horizontal="center" vertical="top" textRotation="0" wrapText="false" indent="0" shrinkToFit="false"/>
      <protection locked="true" hidden="false"/>
    </xf>
    <xf numFmtId="164" fontId="19" fillId="19" borderId="3" xfId="0" applyFont="true" applyBorder="true" applyAlignment="true" applyProtection="false">
      <alignment horizontal="center" vertical="top" textRotation="0" wrapText="false" indent="0" shrinkToFit="false"/>
      <protection locked="true" hidden="false"/>
    </xf>
    <xf numFmtId="164" fontId="18" fillId="18" borderId="4" xfId="0" applyFont="true" applyBorder="true" applyAlignment="true" applyProtection="false">
      <alignment horizontal="center" vertical="center" textRotation="0" wrapText="false" indent="0" shrinkToFit="false"/>
      <protection locked="true" hidden="false"/>
    </xf>
    <xf numFmtId="164" fontId="30" fillId="11" borderId="3" xfId="0" applyFont="true" applyBorder="true" applyAlignment="true" applyProtection="false">
      <alignment horizontal="left" vertical="center" textRotation="0" wrapText="false" indent="1" shrinkToFit="false"/>
      <protection locked="true" hidden="false"/>
    </xf>
    <xf numFmtId="164" fontId="27" fillId="13" borderId="3" xfId="0" applyFont="true" applyBorder="true" applyAlignment="true" applyProtection="false">
      <alignment horizontal="center" vertical="center" textRotation="0" wrapText="false" indent="0" shrinkToFit="false"/>
      <protection locked="true" hidden="false"/>
    </xf>
    <xf numFmtId="164" fontId="31" fillId="10" borderId="3" xfId="0" applyFont="true" applyBorder="true" applyAlignment="true" applyProtection="false">
      <alignment horizontal="center" vertical="center" textRotation="0" wrapText="false" indent="0" shrinkToFit="false"/>
      <protection locked="true" hidden="false"/>
    </xf>
    <xf numFmtId="164" fontId="12" fillId="6" borderId="3" xfId="0" applyFont="true" applyBorder="true" applyAlignment="true" applyProtection="false">
      <alignment horizontal="center" vertical="center" textRotation="0" wrapText="false" indent="0" shrinkToFit="false"/>
      <protection locked="true" hidden="false"/>
    </xf>
    <xf numFmtId="164" fontId="30" fillId="14" borderId="3" xfId="0" applyFont="true" applyBorder="true" applyAlignment="true" applyProtection="false">
      <alignment horizontal="left" vertical="center" textRotation="0" wrapText="false" indent="1" shrinkToFit="false"/>
      <protection locked="true" hidden="false"/>
    </xf>
    <xf numFmtId="164" fontId="32" fillId="20" borderId="3" xfId="0" applyFont="true" applyBorder="true" applyAlignment="true" applyProtection="false">
      <alignment horizontal="center" vertical="center" textRotation="0" wrapText="false" indent="0" shrinkToFit="false"/>
      <protection locked="true" hidden="false"/>
    </xf>
    <xf numFmtId="164" fontId="33" fillId="16" borderId="3" xfId="0" applyFont="true" applyBorder="true" applyAlignment="true" applyProtection="false">
      <alignment horizontal="center" vertical="center" textRotation="0" wrapText="false" indent="0" shrinkToFit="false"/>
      <protection locked="true" hidden="false"/>
    </xf>
    <xf numFmtId="164" fontId="5" fillId="9" borderId="0" xfId="0" applyFont="true" applyBorder="true" applyAlignment="true" applyProtection="false">
      <alignment horizontal="center" vertical="bottom" textRotation="0" wrapText="false" indent="0" shrinkToFit="false"/>
      <protection locked="true" hidden="false"/>
    </xf>
    <xf numFmtId="164" fontId="12" fillId="6" borderId="3" xfId="0" applyFont="true" applyBorder="true" applyAlignment="true" applyProtection="false">
      <alignment horizontal="center" vertical="bottom" textRotation="0" wrapText="false" indent="0" shrinkToFit="false"/>
      <protection locked="true" hidden="false"/>
    </xf>
    <xf numFmtId="164" fontId="20" fillId="21" borderId="3" xfId="0" applyFont="true" applyBorder="true" applyAlignment="false" applyProtection="false">
      <alignment horizontal="general" vertical="bottom" textRotation="0" wrapText="false" indent="0" shrinkToFit="false"/>
      <protection locked="true" hidden="false"/>
    </xf>
    <xf numFmtId="164" fontId="23" fillId="13" borderId="3" xfId="0" applyFont="true" applyBorder="true" applyAlignment="true" applyProtection="false">
      <alignment horizontal="center" vertical="bottom" textRotation="0" wrapText="false" indent="0" shrinkToFit="false"/>
      <protection locked="true" hidden="false"/>
    </xf>
    <xf numFmtId="164" fontId="19" fillId="10" borderId="3" xfId="0" applyFont="true" applyBorder="true" applyAlignment="true" applyProtection="false">
      <alignment horizontal="center" vertical="bottom" textRotation="0" wrapText="false" indent="0" shrinkToFit="false"/>
      <protection locked="true" hidden="false"/>
    </xf>
    <xf numFmtId="164" fontId="24" fillId="16" borderId="3" xfId="0" applyFont="true" applyBorder="true" applyAlignment="true" applyProtection="false">
      <alignment horizontal="center" vertical="bottom" textRotation="0" wrapText="false" indent="0" shrinkToFit="false"/>
      <protection locked="true" hidden="false"/>
    </xf>
    <xf numFmtId="164" fontId="34" fillId="20" borderId="3" xfId="0" applyFont="true" applyBorder="true" applyAlignment="true" applyProtection="false">
      <alignment horizontal="center" vertical="bottom" textRotation="0" wrapText="false" indent="0" shrinkToFit="false"/>
      <protection locked="true" hidden="false"/>
    </xf>
    <xf numFmtId="164" fontId="35" fillId="18" borderId="0" xfId="0" applyFont="true" applyBorder="true" applyAlignment="true" applyProtection="false">
      <alignment horizontal="center" vertical="center" textRotation="0" wrapText="fals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19" fillId="10" borderId="3" xfId="0" applyFont="true" applyBorder="true" applyAlignment="true" applyProtection="false">
      <alignment horizontal="center" vertical="top" textRotation="0" wrapText="true" indent="0" shrinkToFit="false"/>
      <protection locked="true" hidden="false"/>
    </xf>
    <xf numFmtId="164" fontId="30" fillId="14" borderId="3" xfId="0" applyFont="true" applyBorder="true" applyAlignment="true" applyProtection="false">
      <alignment horizontal="left" vertical="top" textRotation="0" wrapText="true" indent="0" shrinkToFit="false"/>
      <protection locked="true" hidden="false"/>
    </xf>
    <xf numFmtId="164" fontId="36" fillId="14" borderId="3" xfId="0" applyFont="true" applyBorder="true" applyAlignment="true" applyProtection="false">
      <alignment horizontal="left" vertical="top" textRotation="0" wrapText="true" indent="0" shrinkToFit="false"/>
      <protection locked="true" hidden="false"/>
    </xf>
    <xf numFmtId="164" fontId="37" fillId="6" borderId="3" xfId="0" applyFont="true" applyBorder="true" applyAlignment="true" applyProtection="false">
      <alignment horizontal="center" vertical="top" textRotation="0" wrapText="true" indent="0" shrinkToFit="false"/>
      <protection locked="true" hidden="false"/>
    </xf>
    <xf numFmtId="164" fontId="26" fillId="6" borderId="3" xfId="0" applyFont="true" applyBorder="true" applyAlignment="true" applyProtection="false">
      <alignment horizontal="center" vertical="top" textRotation="0" wrapText="true" indent="0" shrinkToFit="false"/>
      <protection locked="true" hidden="false"/>
    </xf>
    <xf numFmtId="164" fontId="38" fillId="6" borderId="3" xfId="0" applyFont="true" applyBorder="true" applyAlignment="true" applyProtection="false">
      <alignment horizontal="center" vertical="center" textRotation="0" wrapText="true" indent="0" shrinkToFit="false"/>
      <protection locked="true" hidden="false"/>
    </xf>
    <xf numFmtId="164" fontId="39" fillId="13" borderId="3" xfId="0" applyFont="true" applyBorder="true" applyAlignment="true" applyProtection="false">
      <alignment horizontal="center" vertical="top" textRotation="0" wrapText="true" indent="0" shrinkToFit="false"/>
      <protection locked="true" hidden="false"/>
    </xf>
    <xf numFmtId="164" fontId="30" fillId="11" borderId="3" xfId="0" applyFont="true" applyBorder="true" applyAlignment="true" applyProtection="false">
      <alignment horizontal="left" vertical="top" textRotation="0" wrapText="true" indent="0" shrinkToFit="false"/>
      <protection locked="true" hidden="false"/>
    </xf>
    <xf numFmtId="164" fontId="36" fillId="11" borderId="3" xfId="0" applyFont="true" applyBorder="true" applyAlignment="true" applyProtection="false">
      <alignment horizontal="left" vertical="top" textRotation="0" wrapText="true" indent="0" shrinkToFit="false"/>
      <protection locked="true" hidden="false"/>
    </xf>
    <xf numFmtId="164" fontId="40" fillId="16" borderId="3" xfId="0" applyFont="true" applyBorder="true" applyAlignment="true" applyProtection="false">
      <alignment horizontal="center" vertical="top" textRotation="0" wrapText="true" indent="0" shrinkToFit="false"/>
      <protection locked="true" hidden="false"/>
    </xf>
    <xf numFmtId="164" fontId="41" fillId="13" borderId="3" xfId="0" applyFont="true" applyBorder="true" applyAlignment="true" applyProtection="false">
      <alignment horizontal="center" vertical="top" textRotation="0" wrapText="true" indent="0" shrinkToFit="false"/>
      <protection locked="true" hidden="false"/>
    </xf>
    <xf numFmtId="164" fontId="42" fillId="13" borderId="3" xfId="0" applyFont="true" applyBorder="true" applyAlignment="true" applyProtection="false">
      <alignment horizontal="center" vertical="center" textRotation="0" wrapText="true" indent="0" shrinkToFit="false"/>
      <protection locked="true" hidden="false"/>
    </xf>
    <xf numFmtId="164" fontId="43" fillId="12" borderId="3" xfId="0" applyFont="true" applyBorder="true" applyAlignment="true" applyProtection="false">
      <alignment horizontal="center" vertical="top" textRotation="0" wrapText="true" indent="0" shrinkToFit="false"/>
      <protection locked="true" hidden="false"/>
    </xf>
    <xf numFmtId="164" fontId="44" fillId="10" borderId="3" xfId="0" applyFont="true" applyBorder="true" applyAlignment="true" applyProtection="false">
      <alignment horizontal="center" vertical="center" textRotation="0" wrapText="true" indent="0" shrinkToFit="false"/>
      <protection locked="true" hidden="false"/>
    </xf>
    <xf numFmtId="164" fontId="18" fillId="9"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bottom" textRotation="0" wrapText="false" indent="0" shrinkToFit="false"/>
      <protection locked="true" hidden="false"/>
    </xf>
    <xf numFmtId="164" fontId="26" fillId="6" borderId="3" xfId="0" applyFont="true" applyBorder="true" applyAlignment="false" applyProtection="false">
      <alignment horizontal="general" vertical="bottom" textRotation="0" wrapText="false" indent="0" shrinkToFit="false"/>
      <protection locked="true" hidden="false"/>
    </xf>
    <xf numFmtId="164" fontId="26" fillId="6" borderId="3" xfId="0" applyFont="true" applyBorder="true" applyAlignment="true" applyProtection="false">
      <alignment horizontal="center" vertical="bottom" textRotation="0" wrapText="false" indent="0" shrinkToFit="false"/>
      <protection locked="true" hidden="false"/>
    </xf>
    <xf numFmtId="164" fontId="24" fillId="16" borderId="3" xfId="0" applyFont="true" applyBorder="true" applyAlignment="false" applyProtection="false">
      <alignment horizontal="general" vertical="bottom" textRotation="0" wrapText="false" indent="0" shrinkToFit="false"/>
      <protection locked="true" hidden="false"/>
    </xf>
    <xf numFmtId="164" fontId="39" fillId="13" borderId="3" xfId="0" applyFont="true" applyBorder="true" applyAlignment="false" applyProtection="false">
      <alignment horizontal="general" vertical="bottom" textRotation="0" wrapText="false" indent="0" shrinkToFit="false"/>
      <protection locked="true" hidden="false"/>
    </xf>
    <xf numFmtId="164" fontId="39" fillId="13" borderId="3" xfId="0" applyFont="true" applyBorder="true" applyAlignment="true" applyProtection="false">
      <alignment horizontal="center" vertical="bottom" textRotation="0" wrapText="false" indent="0" shrinkToFit="false"/>
      <protection locked="true" hidden="false"/>
    </xf>
    <xf numFmtId="164" fontId="19" fillId="10" borderId="3" xfId="0" applyFont="true" applyBorder="true" applyAlignment="false" applyProtection="false">
      <alignment horizontal="general" vertical="bottom" textRotation="0" wrapText="false" indent="0" shrinkToFit="false"/>
      <protection locked="true" hidden="false"/>
    </xf>
    <xf numFmtId="164" fontId="43" fillId="12" borderId="3" xfId="0" applyFont="true" applyBorder="true" applyAlignment="false" applyProtection="false">
      <alignment horizontal="general" vertical="bottom" textRotation="0" wrapText="false" indent="0" shrinkToFit="false"/>
      <protection locked="true" hidden="false"/>
    </xf>
    <xf numFmtId="164" fontId="43" fillId="12" borderId="3" xfId="0" applyFont="true" applyBorder="true" applyAlignment="true" applyProtection="false">
      <alignment horizontal="center" vertical="bottom" textRotation="0" wrapText="false" indent="0" shrinkToFit="false"/>
      <protection locked="true" hidden="false"/>
    </xf>
    <xf numFmtId="164" fontId="30" fillId="22" borderId="3" xfId="0" applyFont="true" applyBorder="true" applyAlignment="false" applyProtection="false">
      <alignment horizontal="general" vertical="bottom" textRotation="0" wrapText="false" indent="0" shrinkToFit="false"/>
      <protection locked="true" hidden="false"/>
    </xf>
    <xf numFmtId="164" fontId="30" fillId="22" borderId="3"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E3A5F"/>
          <bgColor rgb="FF000000"/>
        </patternFill>
      </fill>
    </dxf>
    <dxf>
      <fill>
        <patternFill patternType="solid">
          <fgColor rgb="FFF5F7FA"/>
          <bgColor rgb="FF000000"/>
        </patternFill>
      </fill>
    </dxf>
    <dxf>
      <fill>
        <patternFill patternType="solid">
          <fgColor rgb="FFFDECEA"/>
          <bgColor rgb="FF000000"/>
        </patternFill>
      </fill>
    </dxf>
    <dxf>
      <fill>
        <patternFill patternType="solid">
          <fgColor rgb="FFFEF0E7"/>
          <bgColor rgb="FF000000"/>
        </patternFill>
      </fill>
    </dxf>
    <dxf>
      <fill>
        <patternFill patternType="solid">
          <fgColor rgb="FFFEF9E7"/>
          <bgColor rgb="FF000000"/>
        </patternFill>
      </fill>
    </dxf>
    <dxf>
      <fill>
        <patternFill patternType="solid">
          <bgColor rgb="FF000000"/>
        </patternFill>
      </fill>
    </dxf>
    <dxf>
      <fill>
        <patternFill patternType="solid">
          <fgColor rgb="FF1A2744"/>
          <bgColor rgb="FF000000"/>
        </patternFill>
      </fill>
    </dxf>
    <dxf>
      <fill>
        <patternFill patternType="solid">
          <fgColor rgb="FFFFFFFF"/>
          <bgColor rgb="FF000000"/>
        </patternFill>
      </fill>
    </dxf>
    <dxf>
      <fill>
        <patternFill patternType="solid">
          <fgColor rgb="FFC0392B"/>
          <bgColor rgb="FF000000"/>
        </patternFill>
      </fill>
    </dxf>
    <dxf>
      <fill>
        <patternFill patternType="solid">
          <fgColor rgb="FFD35400"/>
          <bgColor rgb="FF000000"/>
        </patternFill>
      </fill>
    </dxf>
    <dxf>
      <fill>
        <patternFill patternType="solid">
          <fgColor rgb="FF1E7E34"/>
          <bgColor rgb="FF000000"/>
        </patternFill>
      </fill>
    </dxf>
    <dxf>
      <fill>
        <patternFill patternType="solid">
          <fgColor rgb="FFD4A017"/>
          <bgColor rgb="FF000000"/>
        </patternFill>
      </fill>
    </dxf>
    <dxf>
      <fill>
        <patternFill patternType="solid">
          <fgColor rgb="FF444444"/>
          <bgColor rgb="FF000000"/>
        </patternFill>
      </fill>
    </dxf>
  </dxfs>
  <colors>
    <indexedColors>
      <rgbColor rgb="FF000000"/>
      <rgbColor rgb="FFFFFFFF"/>
      <rgbColor rgb="FFFF0000"/>
      <rgbColor rgb="FF00FF00"/>
      <rgbColor rgb="FF0000FF"/>
      <rgbColor rgb="FFFEF9E7"/>
      <rgbColor rgb="FFFF00FF"/>
      <rgbColor rgb="FFF8F9FD"/>
      <rgbColor rgb="FF800000"/>
      <rgbColor rgb="FF1E7E34"/>
      <rgbColor rgb="FF1E3A5F"/>
      <rgbColor rgb="FF7D5A0B"/>
      <rgbColor rgb="FF800080"/>
      <rgbColor rgb="FF1A7A4A"/>
      <rgbColor rgb="FFB0BEC5"/>
      <rgbColor rgb="FFB7770D"/>
      <rgbColor rgb="FFAAAAAA"/>
      <rgbColor rgb="FFC0392B"/>
      <rgbColor rgb="FFFFF8E1"/>
      <rgbColor rgb="FFE8F5EE"/>
      <rgbColor rgb="FF660066"/>
      <rgbColor rgb="FFEEF4FF"/>
      <rgbColor rgb="FF1565C0"/>
      <rgbColor rgb="FFD0D5E8"/>
      <rgbColor rgb="FF000080"/>
      <rgbColor rgb="FFFF00FF"/>
      <rgbColor rgb="FFFEF0E7"/>
      <rgbColor rgb="FF00FFFF"/>
      <rgbColor rgb="FF800080"/>
      <rgbColor rgb="FF800000"/>
      <rgbColor rgb="FF155E38"/>
      <rgbColor rgb="FF0000FF"/>
      <rgbColor rgb="FF00CCFF"/>
      <rgbColor rgb="FFEAF5EA"/>
      <rgbColor rgb="FFE8EBF2"/>
      <rgbColor rgb="FFFEF3DC"/>
      <rgbColor rgb="FFD6E4F7"/>
      <rgbColor rgb="FFF0EBF8"/>
      <rgbColor rgb="FFEEF2FA"/>
      <rgbColor rgb="FFFDECEA"/>
      <rgbColor rgb="FF2E5FA3"/>
      <rgbColor rgb="FFF5F7FA"/>
      <rgbColor rgb="FFF4F6FB"/>
      <rgbColor rgb="FFF4F4F4"/>
      <rgbColor rgb="FFD4A017"/>
      <rgbColor rgb="FFD35400"/>
      <rgbColor rgb="FF666699"/>
      <rgbColor rgb="FF9BA3B8"/>
      <rgbColor rgb="FF1B3A6B"/>
      <rgbColor rgb="FF339966"/>
      <rgbColor rgb="FF1A1A2E"/>
      <rgbColor rgb="FF1A2744"/>
      <rgbColor rgb="FF922B21"/>
      <rgbColor rgb="FF993366"/>
      <rgbColor rgb="FF5B2D8E"/>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2"/>
    <col collapsed="false" customWidth="true" hidden="false" outlineLevel="0" max="4" min="4" style="0" width="20"/>
    <col collapsed="false" customWidth="true" hidden="false" outlineLevel="0" max="5" min="5" style="0" width="22"/>
    <col collapsed="false" customWidth="true" hidden="false" outlineLevel="0" max="6" min="6" style="0" width="14"/>
    <col collapsed="false" customWidth="true" hidden="false" outlineLevel="0" max="7" min="7" style="0" width="24"/>
    <col collapsed="false" customWidth="true" hidden="false" outlineLevel="0" max="9" min="8" style="0" width="18"/>
    <col collapsed="false" customWidth="true" hidden="false" outlineLevel="0" max="10" min="10" style="0" width="26"/>
    <col collapsed="false" customWidth="true" hidden="false" outlineLevel="0" max="11" min="11" style="0" width="14"/>
    <col collapsed="false" customWidth="true" hidden="false" outlineLevel="0" max="12" min="12" style="0" width="12"/>
    <col collapsed="false" customWidth="true" hidden="false" outlineLevel="0" max="13" min="13" style="0" width="22"/>
    <col collapsed="false" customWidth="true" hidden="false" outlineLevel="0" max="15" min="14" style="0" width="30"/>
    <col collapsed="false" customWidth="true" hidden="false" outlineLevel="0" max="17" min="16" style="0" width="11"/>
    <col collapsed="false" customWidth="true" hidden="false" outlineLevel="0" max="18" min="18" style="0" width="55"/>
  </cols>
  <sheetData>
    <row r="1" customFormat="false" ht="21.75" hidden="false" customHeight="true" outlineLevel="0" collapsed="false">
      <c r="A1" s="1" t="s">
        <v>0</v>
      </c>
      <c r="B1" s="1"/>
      <c r="C1" s="1"/>
      <c r="D1" s="1"/>
      <c r="E1" s="1"/>
      <c r="F1" s="1"/>
      <c r="G1" s="1"/>
      <c r="H1" s="1"/>
      <c r="I1" s="1"/>
      <c r="J1" s="1"/>
      <c r="K1" s="1"/>
      <c r="L1" s="1"/>
      <c r="M1" s="1"/>
      <c r="N1" s="1"/>
      <c r="O1" s="1"/>
      <c r="P1" s="1"/>
      <c r="Q1" s="1"/>
      <c r="R1" s="1"/>
    </row>
    <row r="2" customFormat="false" ht="18"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ustomFormat="false" ht="15" hidden="false" customHeight="true" outlineLevel="0" collapsed="false">
      <c r="A3" s="3" t="s">
        <v>19</v>
      </c>
      <c r="B3" s="3" t="s">
        <v>20</v>
      </c>
      <c r="C3" s="4" t="s">
        <v>21</v>
      </c>
      <c r="D3" s="5" t="s">
        <v>22</v>
      </c>
      <c r="E3" s="5" t="s">
        <v>23</v>
      </c>
      <c r="F3" s="5" t="s">
        <v>24</v>
      </c>
      <c r="G3" s="5" t="s">
        <v>25</v>
      </c>
      <c r="H3" s="5" t="s">
        <v>26</v>
      </c>
      <c r="I3" s="6" t="s">
        <v>27</v>
      </c>
      <c r="J3" s="5" t="s">
        <v>28</v>
      </c>
      <c r="K3" s="4" t="s">
        <v>29</v>
      </c>
      <c r="L3" s="4" t="s">
        <v>30</v>
      </c>
      <c r="M3" s="5"/>
      <c r="N3" s="5"/>
      <c r="O3" s="5"/>
      <c r="P3" s="7" t="n">
        <v>6</v>
      </c>
      <c r="Q3" s="8" t="s">
        <v>31</v>
      </c>
      <c r="R3" s="9"/>
    </row>
    <row r="4" customFormat="false" ht="15" hidden="false" customHeight="true" outlineLevel="0" collapsed="false">
      <c r="A4" s="10" t="s">
        <v>32</v>
      </c>
      <c r="B4" s="10" t="s">
        <v>33</v>
      </c>
      <c r="C4" s="11" t="s">
        <v>34</v>
      </c>
      <c r="D4" s="12" t="s">
        <v>35</v>
      </c>
      <c r="E4" s="12" t="s">
        <v>36</v>
      </c>
      <c r="F4" s="12" t="s">
        <v>37</v>
      </c>
      <c r="G4" s="12" t="s">
        <v>25</v>
      </c>
      <c r="H4" s="12" t="s">
        <v>38</v>
      </c>
      <c r="I4" s="13" t="s">
        <v>39</v>
      </c>
      <c r="J4" s="12" t="s">
        <v>28</v>
      </c>
      <c r="K4" s="11" t="s">
        <v>29</v>
      </c>
      <c r="L4" s="11" t="s">
        <v>30</v>
      </c>
      <c r="M4" s="12"/>
      <c r="N4" s="12"/>
      <c r="O4" s="12"/>
      <c r="P4" s="14" t="n">
        <v>6</v>
      </c>
      <c r="Q4" s="15" t="s">
        <v>31</v>
      </c>
      <c r="R4" s="16"/>
    </row>
    <row r="5" customFormat="false" ht="15" hidden="false" customHeight="true" outlineLevel="0" collapsed="false">
      <c r="A5" s="3" t="s">
        <v>40</v>
      </c>
      <c r="B5" s="3" t="s">
        <v>41</v>
      </c>
      <c r="C5" s="4" t="s">
        <v>42</v>
      </c>
      <c r="D5" s="5" t="s">
        <v>43</v>
      </c>
      <c r="E5" s="5" t="s">
        <v>44</v>
      </c>
      <c r="F5" s="5" t="s">
        <v>24</v>
      </c>
      <c r="G5" s="5" t="s">
        <v>25</v>
      </c>
      <c r="H5" s="5" t="s">
        <v>38</v>
      </c>
      <c r="I5" s="6" t="s">
        <v>45</v>
      </c>
      <c r="J5" s="5" t="s">
        <v>28</v>
      </c>
      <c r="K5" s="4" t="s">
        <v>46</v>
      </c>
      <c r="L5" s="4" t="s">
        <v>30</v>
      </c>
      <c r="M5" s="5"/>
      <c r="N5" s="5"/>
      <c r="O5" s="5"/>
      <c r="P5" s="7" t="n">
        <v>6</v>
      </c>
      <c r="Q5" s="8" t="s">
        <v>31</v>
      </c>
      <c r="R5" s="9"/>
    </row>
    <row r="6" customFormat="false" ht="15" hidden="false" customHeight="true" outlineLevel="0" collapsed="false">
      <c r="A6" s="17" t="s">
        <v>47</v>
      </c>
      <c r="B6" s="17" t="s">
        <v>48</v>
      </c>
      <c r="C6" s="18" t="s">
        <v>49</v>
      </c>
      <c r="D6" s="19" t="s">
        <v>50</v>
      </c>
      <c r="E6" s="19" t="s">
        <v>51</v>
      </c>
      <c r="F6" s="19" t="s">
        <v>52</v>
      </c>
      <c r="G6" s="19" t="s">
        <v>53</v>
      </c>
      <c r="H6" s="19" t="s">
        <v>54</v>
      </c>
      <c r="I6" s="20" t="s">
        <v>55</v>
      </c>
      <c r="J6" s="19" t="s">
        <v>28</v>
      </c>
      <c r="K6" s="18" t="s">
        <v>46</v>
      </c>
      <c r="L6" s="18" t="s">
        <v>30</v>
      </c>
      <c r="M6" s="19"/>
      <c r="N6" s="19" t="s">
        <v>56</v>
      </c>
      <c r="O6" s="21" t="s">
        <v>57</v>
      </c>
      <c r="P6" s="22" t="n">
        <v>80</v>
      </c>
      <c r="Q6" s="23" t="s">
        <v>58</v>
      </c>
      <c r="R6" s="24" t="s">
        <v>59</v>
      </c>
    </row>
    <row r="7" customFormat="false" ht="15" hidden="false" customHeight="true" outlineLevel="0" collapsed="false">
      <c r="A7" s="17" t="s">
        <v>60</v>
      </c>
      <c r="B7" s="17" t="s">
        <v>61</v>
      </c>
      <c r="C7" s="18" t="s">
        <v>62</v>
      </c>
      <c r="D7" s="19" t="s">
        <v>63</v>
      </c>
      <c r="E7" s="19" t="s">
        <v>64</v>
      </c>
      <c r="F7" s="19" t="s">
        <v>52</v>
      </c>
      <c r="G7" s="19" t="s">
        <v>65</v>
      </c>
      <c r="H7" s="19" t="s">
        <v>26</v>
      </c>
      <c r="I7" s="20" t="s">
        <v>55</v>
      </c>
      <c r="J7" s="19" t="s">
        <v>28</v>
      </c>
      <c r="K7" s="18" t="s">
        <v>46</v>
      </c>
      <c r="L7" s="18" t="s">
        <v>66</v>
      </c>
      <c r="M7" s="19" t="s">
        <v>67</v>
      </c>
      <c r="N7" s="19"/>
      <c r="O7" s="21" t="s">
        <v>65</v>
      </c>
      <c r="P7" s="25" t="n">
        <v>55</v>
      </c>
      <c r="Q7" s="23" t="s">
        <v>58</v>
      </c>
      <c r="R7" s="24" t="s">
        <v>68</v>
      </c>
    </row>
    <row r="8" customFormat="false" ht="15" hidden="false" customHeight="true" outlineLevel="0" collapsed="false">
      <c r="A8" s="10" t="s">
        <v>69</v>
      </c>
      <c r="B8" s="10" t="s">
        <v>70</v>
      </c>
      <c r="C8" s="11" t="s">
        <v>71</v>
      </c>
      <c r="D8" s="12" t="s">
        <v>72</v>
      </c>
      <c r="E8" s="12" t="s">
        <v>73</v>
      </c>
      <c r="F8" s="12" t="s">
        <v>74</v>
      </c>
      <c r="G8" s="12" t="s">
        <v>25</v>
      </c>
      <c r="H8" s="12" t="s">
        <v>38</v>
      </c>
      <c r="I8" s="13" t="s">
        <v>75</v>
      </c>
      <c r="J8" s="12" t="s">
        <v>28</v>
      </c>
      <c r="K8" s="11" t="s">
        <v>29</v>
      </c>
      <c r="L8" s="11" t="s">
        <v>30</v>
      </c>
      <c r="M8" s="12"/>
      <c r="N8" s="12"/>
      <c r="O8" s="12"/>
      <c r="P8" s="14" t="n">
        <v>10</v>
      </c>
      <c r="Q8" s="15" t="s">
        <v>31</v>
      </c>
      <c r="R8" s="16"/>
    </row>
    <row r="9" customFormat="false" ht="15" hidden="false" customHeight="true" outlineLevel="0" collapsed="false">
      <c r="A9" s="3" t="s">
        <v>76</v>
      </c>
      <c r="B9" s="3" t="s">
        <v>77</v>
      </c>
      <c r="C9" s="4" t="s">
        <v>78</v>
      </c>
      <c r="D9" s="5" t="s">
        <v>79</v>
      </c>
      <c r="E9" s="5" t="s">
        <v>80</v>
      </c>
      <c r="F9" s="5" t="s">
        <v>81</v>
      </c>
      <c r="G9" s="5" t="s">
        <v>25</v>
      </c>
      <c r="H9" s="5" t="s">
        <v>38</v>
      </c>
      <c r="I9" s="6" t="s">
        <v>82</v>
      </c>
      <c r="J9" s="5" t="s">
        <v>28</v>
      </c>
      <c r="K9" s="4" t="s">
        <v>29</v>
      </c>
      <c r="L9" s="4" t="s">
        <v>30</v>
      </c>
      <c r="M9" s="5"/>
      <c r="N9" s="5"/>
      <c r="O9" s="5"/>
      <c r="P9" s="7" t="n">
        <v>8</v>
      </c>
      <c r="Q9" s="8" t="s">
        <v>31</v>
      </c>
      <c r="R9" s="9"/>
    </row>
    <row r="10" customFormat="false" ht="15" hidden="false" customHeight="true" outlineLevel="0" collapsed="false">
      <c r="A10" s="17" t="s">
        <v>83</v>
      </c>
      <c r="B10" s="17" t="s">
        <v>84</v>
      </c>
      <c r="C10" s="18" t="s">
        <v>62</v>
      </c>
      <c r="D10" s="19" t="s">
        <v>63</v>
      </c>
      <c r="E10" s="19" t="s">
        <v>64</v>
      </c>
      <c r="F10" s="19" t="s">
        <v>52</v>
      </c>
      <c r="G10" s="19" t="s">
        <v>65</v>
      </c>
      <c r="H10" s="19" t="s">
        <v>54</v>
      </c>
      <c r="I10" s="20" t="s">
        <v>39</v>
      </c>
      <c r="J10" s="19" t="s">
        <v>28</v>
      </c>
      <c r="K10" s="18" t="s">
        <v>29</v>
      </c>
      <c r="L10" s="18" t="s">
        <v>66</v>
      </c>
      <c r="M10" s="19" t="s">
        <v>85</v>
      </c>
      <c r="N10" s="19"/>
      <c r="O10" s="21" t="s">
        <v>65</v>
      </c>
      <c r="P10" s="25" t="n">
        <v>55</v>
      </c>
      <c r="Q10" s="23" t="s">
        <v>58</v>
      </c>
      <c r="R10" s="24" t="s">
        <v>68</v>
      </c>
    </row>
    <row r="11" customFormat="false" ht="15" hidden="false" customHeight="true" outlineLevel="0" collapsed="false">
      <c r="A11" s="3" t="s">
        <v>86</v>
      </c>
      <c r="B11" s="3" t="s">
        <v>87</v>
      </c>
      <c r="C11" s="4" t="s">
        <v>62</v>
      </c>
      <c r="D11" s="5" t="s">
        <v>63</v>
      </c>
      <c r="E11" s="5" t="s">
        <v>64</v>
      </c>
      <c r="F11" s="5" t="s">
        <v>52</v>
      </c>
      <c r="G11" s="5" t="s">
        <v>25</v>
      </c>
      <c r="H11" s="5" t="s">
        <v>38</v>
      </c>
      <c r="I11" s="6" t="s">
        <v>27</v>
      </c>
      <c r="J11" s="5" t="s">
        <v>28</v>
      </c>
      <c r="K11" s="4" t="s">
        <v>29</v>
      </c>
      <c r="L11" s="4" t="s">
        <v>30</v>
      </c>
      <c r="M11" s="5"/>
      <c r="N11" s="5"/>
      <c r="O11" s="5"/>
      <c r="P11" s="7" t="n">
        <v>16</v>
      </c>
      <c r="Q11" s="8" t="s">
        <v>31</v>
      </c>
      <c r="R11" s="9"/>
    </row>
    <row r="12" customFormat="false" ht="15" hidden="false" customHeight="true" outlineLevel="0" collapsed="false">
      <c r="A12" s="10" t="s">
        <v>88</v>
      </c>
      <c r="B12" s="10" t="s">
        <v>89</v>
      </c>
      <c r="C12" s="11" t="s">
        <v>90</v>
      </c>
      <c r="D12" s="12" t="s">
        <v>91</v>
      </c>
      <c r="E12" s="12" t="s">
        <v>92</v>
      </c>
      <c r="F12" s="12" t="s">
        <v>81</v>
      </c>
      <c r="G12" s="12" t="s">
        <v>25</v>
      </c>
      <c r="H12" s="12" t="s">
        <v>26</v>
      </c>
      <c r="I12" s="13" t="s">
        <v>93</v>
      </c>
      <c r="J12" s="12" t="s">
        <v>28</v>
      </c>
      <c r="K12" s="11" t="s">
        <v>29</v>
      </c>
      <c r="L12" s="11" t="s">
        <v>30</v>
      </c>
      <c r="M12" s="12"/>
      <c r="N12" s="12"/>
      <c r="O12" s="12"/>
      <c r="P12" s="14" t="n">
        <v>11</v>
      </c>
      <c r="Q12" s="15" t="s">
        <v>31</v>
      </c>
      <c r="R12" s="16"/>
    </row>
    <row r="13" customFormat="false" ht="15" hidden="false" customHeight="true" outlineLevel="0" collapsed="false">
      <c r="A13" s="17" t="s">
        <v>94</v>
      </c>
      <c r="B13" s="17" t="s">
        <v>95</v>
      </c>
      <c r="C13" s="18" t="s">
        <v>78</v>
      </c>
      <c r="D13" s="19" t="s">
        <v>79</v>
      </c>
      <c r="E13" s="19" t="s">
        <v>80</v>
      </c>
      <c r="F13" s="19" t="s">
        <v>81</v>
      </c>
      <c r="G13" s="19" t="s">
        <v>53</v>
      </c>
      <c r="H13" s="19" t="s">
        <v>96</v>
      </c>
      <c r="I13" s="20" t="s">
        <v>97</v>
      </c>
      <c r="J13" s="19" t="s">
        <v>28</v>
      </c>
      <c r="K13" s="18" t="s">
        <v>29</v>
      </c>
      <c r="L13" s="18" t="s">
        <v>30</v>
      </c>
      <c r="M13" s="19"/>
      <c r="N13" s="19" t="s">
        <v>98</v>
      </c>
      <c r="O13" s="21" t="s">
        <v>99</v>
      </c>
      <c r="P13" s="23" t="n">
        <v>70</v>
      </c>
      <c r="Q13" s="23" t="s">
        <v>58</v>
      </c>
      <c r="R13" s="24" t="s">
        <v>100</v>
      </c>
    </row>
    <row r="14" customFormat="false" ht="15" hidden="false" customHeight="true" outlineLevel="0" collapsed="false">
      <c r="A14" s="10" t="s">
        <v>101</v>
      </c>
      <c r="B14" s="10" t="s">
        <v>102</v>
      </c>
      <c r="C14" s="11" t="s">
        <v>103</v>
      </c>
      <c r="D14" s="12" t="s">
        <v>104</v>
      </c>
      <c r="E14" s="12" t="s">
        <v>80</v>
      </c>
      <c r="F14" s="12" t="s">
        <v>81</v>
      </c>
      <c r="G14" s="12" t="s">
        <v>25</v>
      </c>
      <c r="H14" s="12" t="s">
        <v>105</v>
      </c>
      <c r="I14" s="13" t="s">
        <v>93</v>
      </c>
      <c r="J14" s="12" t="s">
        <v>28</v>
      </c>
      <c r="K14" s="11" t="s">
        <v>29</v>
      </c>
      <c r="L14" s="11" t="s">
        <v>30</v>
      </c>
      <c r="M14" s="12"/>
      <c r="N14" s="12"/>
      <c r="O14" s="12"/>
      <c r="P14" s="14" t="n">
        <v>13</v>
      </c>
      <c r="Q14" s="15" t="s">
        <v>31</v>
      </c>
      <c r="R14" s="16"/>
    </row>
    <row r="15" customFormat="false" ht="15" hidden="false" customHeight="true" outlineLevel="0" collapsed="false">
      <c r="A15" s="3" t="s">
        <v>106</v>
      </c>
      <c r="B15" s="3" t="s">
        <v>107</v>
      </c>
      <c r="C15" s="4" t="s">
        <v>108</v>
      </c>
      <c r="D15" s="5" t="s">
        <v>109</v>
      </c>
      <c r="E15" s="5" t="s">
        <v>110</v>
      </c>
      <c r="F15" s="5" t="s">
        <v>37</v>
      </c>
      <c r="G15" s="5" t="s">
        <v>25</v>
      </c>
      <c r="H15" s="5" t="s">
        <v>26</v>
      </c>
      <c r="I15" s="6" t="s">
        <v>97</v>
      </c>
      <c r="J15" s="5" t="s">
        <v>28</v>
      </c>
      <c r="K15" s="4" t="s">
        <v>111</v>
      </c>
      <c r="L15" s="4" t="s">
        <v>112</v>
      </c>
      <c r="M15" s="5"/>
      <c r="N15" s="5"/>
      <c r="O15" s="5"/>
      <c r="P15" s="7" t="n">
        <v>10</v>
      </c>
      <c r="Q15" s="8" t="s">
        <v>31</v>
      </c>
      <c r="R15" s="9"/>
    </row>
    <row r="16" customFormat="false" ht="15" hidden="false" customHeight="true" outlineLevel="0" collapsed="false">
      <c r="A16" s="17" t="s">
        <v>113</v>
      </c>
      <c r="B16" s="17" t="s">
        <v>114</v>
      </c>
      <c r="C16" s="18" t="s">
        <v>108</v>
      </c>
      <c r="D16" s="19" t="s">
        <v>109</v>
      </c>
      <c r="E16" s="19" t="s">
        <v>110</v>
      </c>
      <c r="F16" s="19" t="s">
        <v>37</v>
      </c>
      <c r="G16" s="19" t="s">
        <v>25</v>
      </c>
      <c r="H16" s="19" t="s">
        <v>38</v>
      </c>
      <c r="I16" s="20" t="s">
        <v>115</v>
      </c>
      <c r="J16" s="19" t="s">
        <v>116</v>
      </c>
      <c r="K16" s="18" t="s">
        <v>111</v>
      </c>
      <c r="L16" s="18" t="s">
        <v>112</v>
      </c>
      <c r="M16" s="19"/>
      <c r="N16" s="19"/>
      <c r="O16" s="21" t="s">
        <v>117</v>
      </c>
      <c r="P16" s="22" t="n">
        <v>80</v>
      </c>
      <c r="Q16" s="23" t="s">
        <v>58</v>
      </c>
      <c r="R16" s="24" t="s">
        <v>118</v>
      </c>
    </row>
    <row r="17" customFormat="false" ht="15" hidden="false" customHeight="true" outlineLevel="0" collapsed="false">
      <c r="A17" s="3" t="s">
        <v>119</v>
      </c>
      <c r="B17" s="3" t="s">
        <v>120</v>
      </c>
      <c r="C17" s="4" t="s">
        <v>121</v>
      </c>
      <c r="D17" s="5" t="s">
        <v>122</v>
      </c>
      <c r="E17" s="5" t="s">
        <v>123</v>
      </c>
      <c r="F17" s="5" t="s">
        <v>24</v>
      </c>
      <c r="G17" s="5" t="s">
        <v>25</v>
      </c>
      <c r="H17" s="5" t="s">
        <v>105</v>
      </c>
      <c r="I17" s="6" t="s">
        <v>82</v>
      </c>
      <c r="J17" s="5" t="s">
        <v>28</v>
      </c>
      <c r="K17" s="4" t="s">
        <v>46</v>
      </c>
      <c r="L17" s="4" t="s">
        <v>30</v>
      </c>
      <c r="M17" s="5"/>
      <c r="N17" s="5"/>
      <c r="O17" s="5"/>
      <c r="P17" s="7" t="n">
        <v>7</v>
      </c>
      <c r="Q17" s="8" t="s">
        <v>31</v>
      </c>
      <c r="R17" s="9"/>
    </row>
    <row r="18" customFormat="false" ht="15" hidden="false" customHeight="true" outlineLevel="0" collapsed="false">
      <c r="A18" s="10" t="s">
        <v>124</v>
      </c>
      <c r="B18" s="10" t="s">
        <v>125</v>
      </c>
      <c r="C18" s="11" t="s">
        <v>121</v>
      </c>
      <c r="D18" s="12" t="s">
        <v>122</v>
      </c>
      <c r="E18" s="12" t="s">
        <v>123</v>
      </c>
      <c r="F18" s="12" t="s">
        <v>24</v>
      </c>
      <c r="G18" s="12" t="s">
        <v>25</v>
      </c>
      <c r="H18" s="12" t="s">
        <v>26</v>
      </c>
      <c r="I18" s="13" t="s">
        <v>93</v>
      </c>
      <c r="J18" s="12" t="s">
        <v>28</v>
      </c>
      <c r="K18" s="11" t="s">
        <v>29</v>
      </c>
      <c r="L18" s="11" t="s">
        <v>30</v>
      </c>
      <c r="M18" s="12"/>
      <c r="N18" s="12"/>
      <c r="O18" s="12"/>
      <c r="P18" s="14" t="n">
        <v>7</v>
      </c>
      <c r="Q18" s="15" t="s">
        <v>31</v>
      </c>
      <c r="R18" s="16"/>
    </row>
    <row r="19" customFormat="false" ht="15" hidden="false" customHeight="true" outlineLevel="0" collapsed="false">
      <c r="A19" s="3" t="s">
        <v>126</v>
      </c>
      <c r="B19" s="3" t="s">
        <v>127</v>
      </c>
      <c r="C19" s="4" t="s">
        <v>42</v>
      </c>
      <c r="D19" s="5" t="s">
        <v>43</v>
      </c>
      <c r="E19" s="5" t="s">
        <v>44</v>
      </c>
      <c r="F19" s="5" t="s">
        <v>24</v>
      </c>
      <c r="G19" s="5" t="s">
        <v>25</v>
      </c>
      <c r="H19" s="5" t="s">
        <v>26</v>
      </c>
      <c r="I19" s="6" t="s">
        <v>128</v>
      </c>
      <c r="J19" s="5" t="s">
        <v>28</v>
      </c>
      <c r="K19" s="4" t="s">
        <v>46</v>
      </c>
      <c r="L19" s="4" t="s">
        <v>30</v>
      </c>
      <c r="M19" s="5"/>
      <c r="N19" s="5"/>
      <c r="O19" s="5"/>
      <c r="P19" s="7" t="n">
        <v>8</v>
      </c>
      <c r="Q19" s="8" t="s">
        <v>31</v>
      </c>
      <c r="R19" s="9"/>
    </row>
    <row r="20" customFormat="false" ht="15" hidden="false" customHeight="true" outlineLevel="0" collapsed="false">
      <c r="A20" s="10" t="s">
        <v>129</v>
      </c>
      <c r="B20" s="10" t="s">
        <v>130</v>
      </c>
      <c r="C20" s="11" t="s">
        <v>21</v>
      </c>
      <c r="D20" s="12" t="s">
        <v>22</v>
      </c>
      <c r="E20" s="12" t="s">
        <v>23</v>
      </c>
      <c r="F20" s="12" t="s">
        <v>24</v>
      </c>
      <c r="G20" s="12" t="s">
        <v>25</v>
      </c>
      <c r="H20" s="12" t="s">
        <v>26</v>
      </c>
      <c r="I20" s="13" t="s">
        <v>131</v>
      </c>
      <c r="J20" s="12" t="s">
        <v>28</v>
      </c>
      <c r="K20" s="11" t="s">
        <v>29</v>
      </c>
      <c r="L20" s="11" t="s">
        <v>30</v>
      </c>
      <c r="M20" s="12"/>
      <c r="N20" s="12"/>
      <c r="O20" s="12"/>
      <c r="P20" s="14" t="n">
        <v>10</v>
      </c>
      <c r="Q20" s="15" t="s">
        <v>31</v>
      </c>
      <c r="R20" s="16"/>
    </row>
    <row r="21" customFormat="false" ht="15" hidden="false" customHeight="true" outlineLevel="0" collapsed="false">
      <c r="A21" s="17" t="s">
        <v>132</v>
      </c>
      <c r="B21" s="17" t="s">
        <v>133</v>
      </c>
      <c r="C21" s="18" t="s">
        <v>21</v>
      </c>
      <c r="D21" s="19" t="s">
        <v>22</v>
      </c>
      <c r="E21" s="19" t="s">
        <v>23</v>
      </c>
      <c r="F21" s="19" t="s">
        <v>24</v>
      </c>
      <c r="G21" s="19" t="s">
        <v>25</v>
      </c>
      <c r="H21" s="19" t="s">
        <v>38</v>
      </c>
      <c r="I21" s="20" t="s">
        <v>134</v>
      </c>
      <c r="J21" s="19" t="s">
        <v>135</v>
      </c>
      <c r="K21" s="18" t="s">
        <v>46</v>
      </c>
      <c r="L21" s="18" t="s">
        <v>30</v>
      </c>
      <c r="M21" s="19"/>
      <c r="N21" s="19"/>
      <c r="O21" s="21" t="s">
        <v>117</v>
      </c>
      <c r="P21" s="22" t="n">
        <v>80</v>
      </c>
      <c r="Q21" s="23" t="s">
        <v>58</v>
      </c>
      <c r="R21" s="24" t="s">
        <v>136</v>
      </c>
    </row>
    <row r="22" customFormat="false" ht="15" hidden="false" customHeight="true" outlineLevel="0" collapsed="false">
      <c r="A22" s="10" t="s">
        <v>137</v>
      </c>
      <c r="B22" s="10" t="s">
        <v>138</v>
      </c>
      <c r="C22" s="11" t="s">
        <v>103</v>
      </c>
      <c r="D22" s="12" t="s">
        <v>104</v>
      </c>
      <c r="E22" s="12" t="s">
        <v>80</v>
      </c>
      <c r="F22" s="12" t="s">
        <v>81</v>
      </c>
      <c r="G22" s="12" t="s">
        <v>25</v>
      </c>
      <c r="H22" s="12" t="s">
        <v>26</v>
      </c>
      <c r="I22" s="13" t="s">
        <v>27</v>
      </c>
      <c r="J22" s="12" t="s">
        <v>28</v>
      </c>
      <c r="K22" s="11" t="s">
        <v>29</v>
      </c>
      <c r="L22" s="11" t="s">
        <v>30</v>
      </c>
      <c r="M22" s="12"/>
      <c r="N22" s="12"/>
      <c r="O22" s="12"/>
      <c r="P22" s="14" t="n">
        <v>15</v>
      </c>
      <c r="Q22" s="15" t="s">
        <v>31</v>
      </c>
      <c r="R22" s="16"/>
    </row>
    <row r="23" customFormat="false" ht="15" hidden="false" customHeight="true" outlineLevel="0" collapsed="false">
      <c r="A23" s="17" t="s">
        <v>139</v>
      </c>
      <c r="B23" s="17" t="s">
        <v>140</v>
      </c>
      <c r="C23" s="18" t="s">
        <v>21</v>
      </c>
      <c r="D23" s="19" t="s">
        <v>22</v>
      </c>
      <c r="E23" s="19" t="s">
        <v>23</v>
      </c>
      <c r="F23" s="19" t="s">
        <v>24</v>
      </c>
      <c r="G23" s="19" t="s">
        <v>65</v>
      </c>
      <c r="H23" s="19" t="s">
        <v>38</v>
      </c>
      <c r="I23" s="20" t="s">
        <v>39</v>
      </c>
      <c r="J23" s="19" t="s">
        <v>28</v>
      </c>
      <c r="K23" s="18" t="s">
        <v>46</v>
      </c>
      <c r="L23" s="18" t="s">
        <v>66</v>
      </c>
      <c r="M23" s="19" t="s">
        <v>85</v>
      </c>
      <c r="N23" s="19"/>
      <c r="O23" s="21" t="s">
        <v>65</v>
      </c>
      <c r="P23" s="25" t="n">
        <v>55</v>
      </c>
      <c r="Q23" s="23" t="s">
        <v>58</v>
      </c>
      <c r="R23" s="24" t="s">
        <v>68</v>
      </c>
    </row>
    <row r="24" customFormat="false" ht="15" hidden="false" customHeight="true" outlineLevel="0" collapsed="false">
      <c r="A24" s="10" t="s">
        <v>141</v>
      </c>
      <c r="B24" s="10" t="s">
        <v>142</v>
      </c>
      <c r="C24" s="11" t="s">
        <v>143</v>
      </c>
      <c r="D24" s="12" t="s">
        <v>144</v>
      </c>
      <c r="E24" s="12" t="s">
        <v>145</v>
      </c>
      <c r="F24" s="12" t="s">
        <v>81</v>
      </c>
      <c r="G24" s="12" t="s">
        <v>25</v>
      </c>
      <c r="H24" s="12" t="s">
        <v>38</v>
      </c>
      <c r="I24" s="13" t="s">
        <v>75</v>
      </c>
      <c r="J24" s="12" t="s">
        <v>28</v>
      </c>
      <c r="K24" s="11" t="s">
        <v>29</v>
      </c>
      <c r="L24" s="11" t="s">
        <v>30</v>
      </c>
      <c r="M24" s="12"/>
      <c r="N24" s="12"/>
      <c r="O24" s="12"/>
      <c r="P24" s="14" t="n">
        <v>10</v>
      </c>
      <c r="Q24" s="15" t="s">
        <v>31</v>
      </c>
      <c r="R24" s="16"/>
    </row>
    <row r="25" customFormat="false" ht="15" hidden="false" customHeight="true" outlineLevel="0" collapsed="false">
      <c r="A25" s="3" t="s">
        <v>146</v>
      </c>
      <c r="B25" s="3" t="s">
        <v>147</v>
      </c>
      <c r="C25" s="4" t="s">
        <v>148</v>
      </c>
      <c r="D25" s="5" t="s">
        <v>149</v>
      </c>
      <c r="E25" s="5" t="s">
        <v>123</v>
      </c>
      <c r="F25" s="5" t="s">
        <v>24</v>
      </c>
      <c r="G25" s="5" t="s">
        <v>25</v>
      </c>
      <c r="H25" s="5" t="s">
        <v>26</v>
      </c>
      <c r="I25" s="6" t="s">
        <v>150</v>
      </c>
      <c r="J25" s="5" t="s">
        <v>28</v>
      </c>
      <c r="K25" s="4" t="s">
        <v>29</v>
      </c>
      <c r="L25" s="4" t="s">
        <v>30</v>
      </c>
      <c r="M25" s="5"/>
      <c r="N25" s="5"/>
      <c r="O25" s="5"/>
      <c r="P25" s="7" t="n">
        <v>10</v>
      </c>
      <c r="Q25" s="8" t="s">
        <v>31</v>
      </c>
      <c r="R25" s="9"/>
    </row>
    <row r="26" customFormat="false" ht="15" hidden="false" customHeight="true" outlineLevel="0" collapsed="false">
      <c r="A26" s="26" t="s">
        <v>151</v>
      </c>
      <c r="B26" s="26" t="s">
        <v>152</v>
      </c>
      <c r="C26" s="27" t="s">
        <v>148</v>
      </c>
      <c r="D26" s="28" t="s">
        <v>149</v>
      </c>
      <c r="E26" s="28" t="s">
        <v>123</v>
      </c>
      <c r="F26" s="28" t="s">
        <v>24</v>
      </c>
      <c r="G26" s="28" t="s">
        <v>153</v>
      </c>
      <c r="H26" s="28" t="s">
        <v>96</v>
      </c>
      <c r="I26" s="29" t="s">
        <v>115</v>
      </c>
      <c r="J26" s="28" t="s">
        <v>116</v>
      </c>
      <c r="K26" s="27" t="s">
        <v>46</v>
      </c>
      <c r="L26" s="27" t="s">
        <v>30</v>
      </c>
      <c r="M26" s="28"/>
      <c r="N26" s="28"/>
      <c r="O26" s="30" t="s">
        <v>154</v>
      </c>
      <c r="P26" s="31" t="n">
        <v>95</v>
      </c>
      <c r="Q26" s="31" t="s">
        <v>155</v>
      </c>
      <c r="R26" s="32" t="s">
        <v>156</v>
      </c>
    </row>
    <row r="27" customFormat="false" ht="15" hidden="false" customHeight="true" outlineLevel="0" collapsed="false">
      <c r="A27" s="3" t="s">
        <v>157</v>
      </c>
      <c r="B27" s="3" t="s">
        <v>158</v>
      </c>
      <c r="C27" s="4" t="s">
        <v>159</v>
      </c>
      <c r="D27" s="5" t="s">
        <v>160</v>
      </c>
      <c r="E27" s="5" t="s">
        <v>110</v>
      </c>
      <c r="F27" s="5" t="s">
        <v>37</v>
      </c>
      <c r="G27" s="5" t="s">
        <v>25</v>
      </c>
      <c r="H27" s="5" t="s">
        <v>38</v>
      </c>
      <c r="I27" s="6" t="s">
        <v>131</v>
      </c>
      <c r="J27" s="5" t="s">
        <v>28</v>
      </c>
      <c r="K27" s="4" t="s">
        <v>29</v>
      </c>
      <c r="L27" s="4" t="s">
        <v>30</v>
      </c>
      <c r="M27" s="5"/>
      <c r="N27" s="5"/>
      <c r="O27" s="5"/>
      <c r="P27" s="7" t="n">
        <v>18</v>
      </c>
      <c r="Q27" s="8" t="s">
        <v>31</v>
      </c>
      <c r="R27" s="9"/>
    </row>
    <row r="28" customFormat="false" ht="15" hidden="false" customHeight="true" outlineLevel="0" collapsed="false">
      <c r="A28" s="10" t="s">
        <v>161</v>
      </c>
      <c r="B28" s="10" t="s">
        <v>162</v>
      </c>
      <c r="C28" s="11" t="s">
        <v>62</v>
      </c>
      <c r="D28" s="12" t="s">
        <v>63</v>
      </c>
      <c r="E28" s="12" t="s">
        <v>64</v>
      </c>
      <c r="F28" s="12" t="s">
        <v>52</v>
      </c>
      <c r="G28" s="12" t="s">
        <v>25</v>
      </c>
      <c r="H28" s="12" t="s">
        <v>26</v>
      </c>
      <c r="I28" s="13" t="s">
        <v>163</v>
      </c>
      <c r="J28" s="12" t="s">
        <v>28</v>
      </c>
      <c r="K28" s="11" t="s">
        <v>29</v>
      </c>
      <c r="L28" s="11" t="s">
        <v>30</v>
      </c>
      <c r="M28" s="12"/>
      <c r="N28" s="12"/>
      <c r="O28" s="12"/>
      <c r="P28" s="14" t="n">
        <v>5</v>
      </c>
      <c r="Q28" s="15" t="s">
        <v>31</v>
      </c>
      <c r="R28" s="16"/>
    </row>
    <row r="29" customFormat="false" ht="15" hidden="false" customHeight="true" outlineLevel="0" collapsed="false">
      <c r="A29" s="3" t="s">
        <v>164</v>
      </c>
      <c r="B29" s="3" t="s">
        <v>165</v>
      </c>
      <c r="C29" s="4" t="s">
        <v>34</v>
      </c>
      <c r="D29" s="5" t="s">
        <v>35</v>
      </c>
      <c r="E29" s="5" t="s">
        <v>36</v>
      </c>
      <c r="F29" s="5" t="s">
        <v>37</v>
      </c>
      <c r="G29" s="5" t="s">
        <v>25</v>
      </c>
      <c r="H29" s="5" t="s">
        <v>26</v>
      </c>
      <c r="I29" s="6" t="s">
        <v>27</v>
      </c>
      <c r="J29" s="5" t="s">
        <v>28</v>
      </c>
      <c r="K29" s="4" t="s">
        <v>29</v>
      </c>
      <c r="L29" s="4" t="s">
        <v>30</v>
      </c>
      <c r="M29" s="5"/>
      <c r="N29" s="5"/>
      <c r="O29" s="5"/>
      <c r="P29" s="7" t="n">
        <v>12</v>
      </c>
      <c r="Q29" s="8" t="s">
        <v>31</v>
      </c>
      <c r="R29" s="9"/>
    </row>
    <row r="30" customFormat="false" ht="15" hidden="false" customHeight="true" outlineLevel="0" collapsed="false">
      <c r="A30" s="33" t="s">
        <v>166</v>
      </c>
      <c r="B30" s="33" t="s">
        <v>167</v>
      </c>
      <c r="C30" s="34" t="s">
        <v>108</v>
      </c>
      <c r="D30" s="35" t="s">
        <v>109</v>
      </c>
      <c r="E30" s="35" t="s">
        <v>110</v>
      </c>
      <c r="F30" s="35" t="s">
        <v>37</v>
      </c>
      <c r="G30" s="35" t="s">
        <v>25</v>
      </c>
      <c r="H30" s="35" t="s">
        <v>38</v>
      </c>
      <c r="I30" s="36" t="s">
        <v>168</v>
      </c>
      <c r="J30" s="35" t="s">
        <v>169</v>
      </c>
      <c r="K30" s="34" t="s">
        <v>111</v>
      </c>
      <c r="L30" s="34" t="s">
        <v>112</v>
      </c>
      <c r="M30" s="35"/>
      <c r="N30" s="35"/>
      <c r="O30" s="37" t="s">
        <v>170</v>
      </c>
      <c r="P30" s="38" t="n">
        <v>30</v>
      </c>
      <c r="Q30" s="39" t="s">
        <v>171</v>
      </c>
      <c r="R30" s="40" t="s">
        <v>172</v>
      </c>
    </row>
    <row r="31" customFormat="false" ht="15" hidden="false" customHeight="true" outlineLevel="0" collapsed="false">
      <c r="A31" s="17" t="s">
        <v>173</v>
      </c>
      <c r="B31" s="17" t="s">
        <v>174</v>
      </c>
      <c r="C31" s="18" t="s">
        <v>159</v>
      </c>
      <c r="D31" s="19" t="s">
        <v>160</v>
      </c>
      <c r="E31" s="19" t="s">
        <v>110</v>
      </c>
      <c r="F31" s="19" t="s">
        <v>37</v>
      </c>
      <c r="G31" s="19" t="s">
        <v>65</v>
      </c>
      <c r="H31" s="19" t="s">
        <v>26</v>
      </c>
      <c r="I31" s="20" t="s">
        <v>163</v>
      </c>
      <c r="J31" s="19" t="s">
        <v>28</v>
      </c>
      <c r="K31" s="18" t="s">
        <v>46</v>
      </c>
      <c r="L31" s="18" t="s">
        <v>66</v>
      </c>
      <c r="M31" s="19" t="s">
        <v>85</v>
      </c>
      <c r="N31" s="19"/>
      <c r="O31" s="21" t="s">
        <v>65</v>
      </c>
      <c r="P31" s="25" t="n">
        <v>55</v>
      </c>
      <c r="Q31" s="23" t="s">
        <v>58</v>
      </c>
      <c r="R31" s="24" t="s">
        <v>68</v>
      </c>
    </row>
    <row r="32" customFormat="false" ht="15" hidden="false" customHeight="true" outlineLevel="0" collapsed="false">
      <c r="A32" s="10" t="s">
        <v>175</v>
      </c>
      <c r="B32" s="10" t="s">
        <v>176</v>
      </c>
      <c r="C32" s="11" t="s">
        <v>159</v>
      </c>
      <c r="D32" s="12" t="s">
        <v>160</v>
      </c>
      <c r="E32" s="12" t="s">
        <v>110</v>
      </c>
      <c r="F32" s="12" t="s">
        <v>37</v>
      </c>
      <c r="G32" s="12" t="s">
        <v>25</v>
      </c>
      <c r="H32" s="12" t="s">
        <v>26</v>
      </c>
      <c r="I32" s="13" t="s">
        <v>177</v>
      </c>
      <c r="J32" s="12" t="s">
        <v>28</v>
      </c>
      <c r="K32" s="11" t="s">
        <v>29</v>
      </c>
      <c r="L32" s="11" t="s">
        <v>30</v>
      </c>
      <c r="M32" s="12"/>
      <c r="N32" s="12"/>
      <c r="O32" s="12"/>
      <c r="P32" s="14" t="n">
        <v>10</v>
      </c>
      <c r="Q32" s="15" t="s">
        <v>31</v>
      </c>
      <c r="R32" s="16"/>
    </row>
    <row r="33" customFormat="false" ht="15" hidden="false" customHeight="true" outlineLevel="0" collapsed="false">
      <c r="A33" s="3" t="s">
        <v>178</v>
      </c>
      <c r="B33" s="3" t="s">
        <v>179</v>
      </c>
      <c r="C33" s="4" t="s">
        <v>21</v>
      </c>
      <c r="D33" s="5" t="s">
        <v>22</v>
      </c>
      <c r="E33" s="5" t="s">
        <v>23</v>
      </c>
      <c r="F33" s="5" t="s">
        <v>24</v>
      </c>
      <c r="G33" s="5" t="s">
        <v>25</v>
      </c>
      <c r="H33" s="5" t="s">
        <v>26</v>
      </c>
      <c r="I33" s="6" t="s">
        <v>27</v>
      </c>
      <c r="J33" s="5" t="s">
        <v>28</v>
      </c>
      <c r="K33" s="4" t="s">
        <v>29</v>
      </c>
      <c r="L33" s="4" t="s">
        <v>30</v>
      </c>
      <c r="M33" s="5"/>
      <c r="N33" s="5"/>
      <c r="O33" s="5"/>
      <c r="P33" s="7" t="n">
        <v>15</v>
      </c>
      <c r="Q33" s="8" t="s">
        <v>31</v>
      </c>
      <c r="R33" s="9"/>
    </row>
    <row r="34" customFormat="false" ht="15" hidden="false" customHeight="true" outlineLevel="0" collapsed="false">
      <c r="A34" s="17" t="s">
        <v>180</v>
      </c>
      <c r="B34" s="17" t="s">
        <v>181</v>
      </c>
      <c r="C34" s="18" t="s">
        <v>159</v>
      </c>
      <c r="D34" s="19" t="s">
        <v>160</v>
      </c>
      <c r="E34" s="19" t="s">
        <v>110</v>
      </c>
      <c r="F34" s="19" t="s">
        <v>37</v>
      </c>
      <c r="G34" s="19" t="s">
        <v>25</v>
      </c>
      <c r="H34" s="19" t="s">
        <v>96</v>
      </c>
      <c r="I34" s="20" t="s">
        <v>182</v>
      </c>
      <c r="J34" s="19" t="s">
        <v>183</v>
      </c>
      <c r="K34" s="18" t="s">
        <v>46</v>
      </c>
      <c r="L34" s="18" t="s">
        <v>30</v>
      </c>
      <c r="M34" s="19"/>
      <c r="N34" s="19"/>
      <c r="O34" s="21" t="s">
        <v>117</v>
      </c>
      <c r="P34" s="22" t="n">
        <v>80</v>
      </c>
      <c r="Q34" s="23" t="s">
        <v>58</v>
      </c>
      <c r="R34" s="24" t="s">
        <v>184</v>
      </c>
    </row>
    <row r="35" customFormat="false" ht="15" hidden="false" customHeight="true" outlineLevel="0" collapsed="false">
      <c r="A35" s="3" t="s">
        <v>185</v>
      </c>
      <c r="B35" s="3" t="s">
        <v>186</v>
      </c>
      <c r="C35" s="4" t="s">
        <v>187</v>
      </c>
      <c r="D35" s="5" t="s">
        <v>188</v>
      </c>
      <c r="E35" s="5" t="s">
        <v>44</v>
      </c>
      <c r="F35" s="5" t="s">
        <v>24</v>
      </c>
      <c r="G35" s="5" t="s">
        <v>25</v>
      </c>
      <c r="H35" s="5" t="s">
        <v>26</v>
      </c>
      <c r="I35" s="6" t="s">
        <v>128</v>
      </c>
      <c r="J35" s="5" t="s">
        <v>28</v>
      </c>
      <c r="K35" s="4" t="s">
        <v>46</v>
      </c>
      <c r="L35" s="4" t="s">
        <v>30</v>
      </c>
      <c r="M35" s="5"/>
      <c r="N35" s="5"/>
      <c r="O35" s="5"/>
      <c r="P35" s="7" t="n">
        <v>19</v>
      </c>
      <c r="Q35" s="8" t="s">
        <v>31</v>
      </c>
      <c r="R35" s="9"/>
    </row>
    <row r="36" customFormat="false" ht="15" hidden="false" customHeight="true" outlineLevel="0" collapsed="false">
      <c r="A36" s="10" t="s">
        <v>189</v>
      </c>
      <c r="B36" s="10" t="s">
        <v>190</v>
      </c>
      <c r="C36" s="11" t="s">
        <v>34</v>
      </c>
      <c r="D36" s="12" t="s">
        <v>35</v>
      </c>
      <c r="E36" s="12" t="s">
        <v>36</v>
      </c>
      <c r="F36" s="12" t="s">
        <v>37</v>
      </c>
      <c r="G36" s="12" t="s">
        <v>25</v>
      </c>
      <c r="H36" s="12" t="s">
        <v>26</v>
      </c>
      <c r="I36" s="13" t="s">
        <v>45</v>
      </c>
      <c r="J36" s="12" t="s">
        <v>28</v>
      </c>
      <c r="K36" s="11" t="s">
        <v>46</v>
      </c>
      <c r="L36" s="11" t="s">
        <v>30</v>
      </c>
      <c r="M36" s="12"/>
      <c r="N36" s="12"/>
      <c r="O36" s="12"/>
      <c r="P36" s="14" t="n">
        <v>12</v>
      </c>
      <c r="Q36" s="15" t="s">
        <v>31</v>
      </c>
      <c r="R36" s="16"/>
    </row>
    <row r="37" customFormat="false" ht="15" hidden="false" customHeight="true" outlineLevel="0" collapsed="false">
      <c r="A37" s="3" t="s">
        <v>191</v>
      </c>
      <c r="B37" s="3" t="s">
        <v>192</v>
      </c>
      <c r="C37" s="4" t="s">
        <v>159</v>
      </c>
      <c r="D37" s="5" t="s">
        <v>160</v>
      </c>
      <c r="E37" s="5" t="s">
        <v>110</v>
      </c>
      <c r="F37" s="5" t="s">
        <v>37</v>
      </c>
      <c r="G37" s="5" t="s">
        <v>25</v>
      </c>
      <c r="H37" s="5" t="s">
        <v>26</v>
      </c>
      <c r="I37" s="6" t="s">
        <v>39</v>
      </c>
      <c r="J37" s="5" t="s">
        <v>28</v>
      </c>
      <c r="K37" s="4" t="s">
        <v>29</v>
      </c>
      <c r="L37" s="4" t="s">
        <v>30</v>
      </c>
      <c r="M37" s="5"/>
      <c r="N37" s="5"/>
      <c r="O37" s="5"/>
      <c r="P37" s="7" t="n">
        <v>14</v>
      </c>
      <c r="Q37" s="8" t="s">
        <v>31</v>
      </c>
      <c r="R37" s="9"/>
    </row>
    <row r="38" customFormat="false" ht="15" hidden="false" customHeight="true" outlineLevel="0" collapsed="false">
      <c r="A38" s="10" t="s">
        <v>193</v>
      </c>
      <c r="B38" s="10" t="s">
        <v>194</v>
      </c>
      <c r="C38" s="11" t="s">
        <v>195</v>
      </c>
      <c r="D38" s="12" t="s">
        <v>196</v>
      </c>
      <c r="E38" s="12" t="s">
        <v>92</v>
      </c>
      <c r="F38" s="12" t="s">
        <v>81</v>
      </c>
      <c r="G38" s="12" t="s">
        <v>25</v>
      </c>
      <c r="H38" s="12" t="s">
        <v>26</v>
      </c>
      <c r="I38" s="13" t="s">
        <v>197</v>
      </c>
      <c r="J38" s="12" t="s">
        <v>198</v>
      </c>
      <c r="K38" s="11" t="s">
        <v>29</v>
      </c>
      <c r="L38" s="11" t="s">
        <v>30</v>
      </c>
      <c r="M38" s="12"/>
      <c r="N38" s="12"/>
      <c r="O38" s="12"/>
      <c r="P38" s="14" t="n">
        <v>10</v>
      </c>
      <c r="Q38" s="15" t="s">
        <v>31</v>
      </c>
      <c r="R38" s="16"/>
    </row>
    <row r="39" customFormat="false" ht="15" hidden="false" customHeight="true" outlineLevel="0" collapsed="false">
      <c r="A39" s="17" t="s">
        <v>199</v>
      </c>
      <c r="B39" s="17" t="s">
        <v>200</v>
      </c>
      <c r="C39" s="18" t="s">
        <v>159</v>
      </c>
      <c r="D39" s="19" t="s">
        <v>160</v>
      </c>
      <c r="E39" s="19" t="s">
        <v>110</v>
      </c>
      <c r="F39" s="19" t="s">
        <v>37</v>
      </c>
      <c r="G39" s="19" t="s">
        <v>65</v>
      </c>
      <c r="H39" s="19" t="s">
        <v>54</v>
      </c>
      <c r="I39" s="20" t="s">
        <v>27</v>
      </c>
      <c r="J39" s="19" t="s">
        <v>28</v>
      </c>
      <c r="K39" s="18" t="s">
        <v>29</v>
      </c>
      <c r="L39" s="18" t="s">
        <v>66</v>
      </c>
      <c r="M39" s="19" t="s">
        <v>67</v>
      </c>
      <c r="N39" s="19"/>
      <c r="O39" s="21" t="s">
        <v>65</v>
      </c>
      <c r="P39" s="25" t="n">
        <v>55</v>
      </c>
      <c r="Q39" s="23" t="s">
        <v>58</v>
      </c>
      <c r="R39" s="24" t="s">
        <v>68</v>
      </c>
    </row>
    <row r="40" customFormat="false" ht="15" hidden="false" customHeight="true" outlineLevel="0" collapsed="false">
      <c r="A40" s="10" t="s">
        <v>201</v>
      </c>
      <c r="B40" s="10" t="s">
        <v>202</v>
      </c>
      <c r="C40" s="11" t="s">
        <v>71</v>
      </c>
      <c r="D40" s="12" t="s">
        <v>72</v>
      </c>
      <c r="E40" s="12" t="s">
        <v>73</v>
      </c>
      <c r="F40" s="12" t="s">
        <v>74</v>
      </c>
      <c r="G40" s="12" t="s">
        <v>25</v>
      </c>
      <c r="H40" s="12" t="s">
        <v>38</v>
      </c>
      <c r="I40" s="13" t="s">
        <v>55</v>
      </c>
      <c r="J40" s="12" t="s">
        <v>28</v>
      </c>
      <c r="K40" s="11" t="s">
        <v>29</v>
      </c>
      <c r="L40" s="11" t="s">
        <v>30</v>
      </c>
      <c r="M40" s="12"/>
      <c r="N40" s="12"/>
      <c r="O40" s="12"/>
      <c r="P40" s="14" t="n">
        <v>8</v>
      </c>
      <c r="Q40" s="15" t="s">
        <v>31</v>
      </c>
      <c r="R40" s="16"/>
    </row>
    <row r="41" customFormat="false" ht="15" hidden="false" customHeight="true" outlineLevel="0" collapsed="false">
      <c r="A41" s="17" t="s">
        <v>203</v>
      </c>
      <c r="B41" s="17" t="s">
        <v>204</v>
      </c>
      <c r="C41" s="18" t="s">
        <v>34</v>
      </c>
      <c r="D41" s="19" t="s">
        <v>35</v>
      </c>
      <c r="E41" s="19" t="s">
        <v>36</v>
      </c>
      <c r="F41" s="19" t="s">
        <v>37</v>
      </c>
      <c r="G41" s="19" t="s">
        <v>53</v>
      </c>
      <c r="H41" s="19" t="s">
        <v>54</v>
      </c>
      <c r="I41" s="20" t="s">
        <v>205</v>
      </c>
      <c r="J41" s="19" t="s">
        <v>28</v>
      </c>
      <c r="K41" s="18" t="s">
        <v>29</v>
      </c>
      <c r="L41" s="18" t="s">
        <v>30</v>
      </c>
      <c r="M41" s="19"/>
      <c r="N41" s="19" t="s">
        <v>206</v>
      </c>
      <c r="O41" s="21" t="s">
        <v>99</v>
      </c>
      <c r="P41" s="23" t="n">
        <v>70</v>
      </c>
      <c r="Q41" s="23" t="s">
        <v>58</v>
      </c>
      <c r="R41" s="24" t="s">
        <v>207</v>
      </c>
    </row>
    <row r="42" customFormat="false" ht="15" hidden="false" customHeight="true" outlineLevel="0" collapsed="false">
      <c r="A42" s="33" t="s">
        <v>208</v>
      </c>
      <c r="B42" s="33" t="s">
        <v>209</v>
      </c>
      <c r="C42" s="34" t="s">
        <v>210</v>
      </c>
      <c r="D42" s="35" t="s">
        <v>211</v>
      </c>
      <c r="E42" s="35" t="s">
        <v>123</v>
      </c>
      <c r="F42" s="35" t="s">
        <v>24</v>
      </c>
      <c r="G42" s="35" t="s">
        <v>25</v>
      </c>
      <c r="H42" s="35" t="s">
        <v>105</v>
      </c>
      <c r="I42" s="36" t="s">
        <v>39</v>
      </c>
      <c r="J42" s="35" t="s">
        <v>28</v>
      </c>
      <c r="K42" s="34" t="s">
        <v>111</v>
      </c>
      <c r="L42" s="34" t="s">
        <v>112</v>
      </c>
      <c r="M42" s="35"/>
      <c r="N42" s="35"/>
      <c r="O42" s="37" t="s">
        <v>170</v>
      </c>
      <c r="P42" s="38" t="n">
        <v>30</v>
      </c>
      <c r="Q42" s="39" t="s">
        <v>171</v>
      </c>
      <c r="R42" s="40" t="s">
        <v>172</v>
      </c>
    </row>
    <row r="43" customFormat="false" ht="15" hidden="false" customHeight="true" outlineLevel="0" collapsed="false">
      <c r="A43" s="33" t="s">
        <v>212</v>
      </c>
      <c r="B43" s="33" t="s">
        <v>213</v>
      </c>
      <c r="C43" s="34" t="s">
        <v>214</v>
      </c>
      <c r="D43" s="35" t="s">
        <v>215</v>
      </c>
      <c r="E43" s="35" t="s">
        <v>216</v>
      </c>
      <c r="F43" s="35" t="s">
        <v>24</v>
      </c>
      <c r="G43" s="35" t="s">
        <v>25</v>
      </c>
      <c r="H43" s="35" t="s">
        <v>38</v>
      </c>
      <c r="I43" s="36" t="s">
        <v>131</v>
      </c>
      <c r="J43" s="35" t="s">
        <v>28</v>
      </c>
      <c r="K43" s="34" t="s">
        <v>111</v>
      </c>
      <c r="L43" s="34" t="s">
        <v>112</v>
      </c>
      <c r="M43" s="35"/>
      <c r="N43" s="35"/>
      <c r="O43" s="37" t="s">
        <v>170</v>
      </c>
      <c r="P43" s="38" t="n">
        <v>30</v>
      </c>
      <c r="Q43" s="39" t="s">
        <v>171</v>
      </c>
      <c r="R43" s="40" t="s">
        <v>172</v>
      </c>
    </row>
    <row r="44" customFormat="false" ht="15" hidden="false" customHeight="true" outlineLevel="0" collapsed="false">
      <c r="A44" s="10" t="s">
        <v>217</v>
      </c>
      <c r="B44" s="10" t="s">
        <v>218</v>
      </c>
      <c r="C44" s="11" t="s">
        <v>219</v>
      </c>
      <c r="D44" s="12" t="s">
        <v>220</v>
      </c>
      <c r="E44" s="12" t="s">
        <v>80</v>
      </c>
      <c r="F44" s="12" t="s">
        <v>81</v>
      </c>
      <c r="G44" s="12" t="s">
        <v>25</v>
      </c>
      <c r="H44" s="12" t="s">
        <v>26</v>
      </c>
      <c r="I44" s="13" t="s">
        <v>221</v>
      </c>
      <c r="J44" s="12" t="s">
        <v>28</v>
      </c>
      <c r="K44" s="11" t="s">
        <v>29</v>
      </c>
      <c r="L44" s="11" t="s">
        <v>30</v>
      </c>
      <c r="M44" s="12"/>
      <c r="N44" s="12"/>
      <c r="O44" s="12"/>
      <c r="P44" s="14" t="n">
        <v>10</v>
      </c>
      <c r="Q44" s="15" t="s">
        <v>31</v>
      </c>
      <c r="R44" s="16"/>
    </row>
    <row r="45" customFormat="false" ht="15" hidden="false" customHeight="true" outlineLevel="0" collapsed="false">
      <c r="A45" s="3" t="s">
        <v>222</v>
      </c>
      <c r="B45" s="3" t="s">
        <v>223</v>
      </c>
      <c r="C45" s="4" t="s">
        <v>78</v>
      </c>
      <c r="D45" s="5" t="s">
        <v>79</v>
      </c>
      <c r="E45" s="5" t="s">
        <v>80</v>
      </c>
      <c r="F45" s="5" t="s">
        <v>81</v>
      </c>
      <c r="G45" s="5" t="s">
        <v>25</v>
      </c>
      <c r="H45" s="5" t="s">
        <v>26</v>
      </c>
      <c r="I45" s="6" t="s">
        <v>224</v>
      </c>
      <c r="J45" s="5" t="s">
        <v>28</v>
      </c>
      <c r="K45" s="4" t="s">
        <v>29</v>
      </c>
      <c r="L45" s="4" t="s">
        <v>30</v>
      </c>
      <c r="M45" s="5"/>
      <c r="N45" s="5"/>
      <c r="O45" s="5"/>
      <c r="P45" s="7" t="n">
        <v>10</v>
      </c>
      <c r="Q45" s="8" t="s">
        <v>31</v>
      </c>
      <c r="R45" s="9"/>
    </row>
    <row r="46" customFormat="false" ht="15" hidden="false" customHeight="true" outlineLevel="0" collapsed="false">
      <c r="A46" s="26" t="s">
        <v>225</v>
      </c>
      <c r="B46" s="26" t="s">
        <v>226</v>
      </c>
      <c r="C46" s="27" t="s">
        <v>219</v>
      </c>
      <c r="D46" s="28" t="s">
        <v>220</v>
      </c>
      <c r="E46" s="28" t="s">
        <v>80</v>
      </c>
      <c r="F46" s="28" t="s">
        <v>81</v>
      </c>
      <c r="G46" s="28" t="s">
        <v>153</v>
      </c>
      <c r="H46" s="28" t="s">
        <v>38</v>
      </c>
      <c r="I46" s="29" t="s">
        <v>227</v>
      </c>
      <c r="J46" s="28" t="s">
        <v>228</v>
      </c>
      <c r="K46" s="27" t="s">
        <v>46</v>
      </c>
      <c r="L46" s="27" t="s">
        <v>30</v>
      </c>
      <c r="M46" s="28"/>
      <c r="N46" s="28"/>
      <c r="O46" s="30" t="s">
        <v>154</v>
      </c>
      <c r="P46" s="31" t="n">
        <v>95</v>
      </c>
      <c r="Q46" s="31" t="s">
        <v>155</v>
      </c>
      <c r="R46" s="32" t="s">
        <v>229</v>
      </c>
    </row>
    <row r="47" customFormat="false" ht="15" hidden="false" customHeight="true" outlineLevel="0" collapsed="false">
      <c r="A47" s="17" t="s">
        <v>230</v>
      </c>
      <c r="B47" s="17" t="s">
        <v>231</v>
      </c>
      <c r="C47" s="18" t="s">
        <v>78</v>
      </c>
      <c r="D47" s="19" t="s">
        <v>79</v>
      </c>
      <c r="E47" s="19" t="s">
        <v>80</v>
      </c>
      <c r="F47" s="19" t="s">
        <v>81</v>
      </c>
      <c r="G47" s="19" t="s">
        <v>25</v>
      </c>
      <c r="H47" s="19" t="s">
        <v>38</v>
      </c>
      <c r="I47" s="20" t="s">
        <v>134</v>
      </c>
      <c r="J47" s="19" t="s">
        <v>135</v>
      </c>
      <c r="K47" s="18" t="s">
        <v>46</v>
      </c>
      <c r="L47" s="18" t="s">
        <v>30</v>
      </c>
      <c r="M47" s="19"/>
      <c r="N47" s="19"/>
      <c r="O47" s="21" t="s">
        <v>117</v>
      </c>
      <c r="P47" s="22" t="n">
        <v>80</v>
      </c>
      <c r="Q47" s="23" t="s">
        <v>58</v>
      </c>
      <c r="R47" s="24" t="s">
        <v>232</v>
      </c>
    </row>
    <row r="48" customFormat="false" ht="15" hidden="false" customHeight="true" outlineLevel="0" collapsed="false">
      <c r="A48" s="33" t="s">
        <v>233</v>
      </c>
      <c r="B48" s="33" t="s">
        <v>234</v>
      </c>
      <c r="C48" s="34" t="s">
        <v>214</v>
      </c>
      <c r="D48" s="35" t="s">
        <v>215</v>
      </c>
      <c r="E48" s="35" t="s">
        <v>216</v>
      </c>
      <c r="F48" s="35" t="s">
        <v>24</v>
      </c>
      <c r="G48" s="35" t="s">
        <v>25</v>
      </c>
      <c r="H48" s="35" t="s">
        <v>26</v>
      </c>
      <c r="I48" s="36" t="s">
        <v>131</v>
      </c>
      <c r="J48" s="35" t="s">
        <v>28</v>
      </c>
      <c r="K48" s="34" t="s">
        <v>111</v>
      </c>
      <c r="L48" s="34" t="s">
        <v>112</v>
      </c>
      <c r="M48" s="35"/>
      <c r="N48" s="35"/>
      <c r="O48" s="37" t="s">
        <v>170</v>
      </c>
      <c r="P48" s="38" t="n">
        <v>30</v>
      </c>
      <c r="Q48" s="39" t="s">
        <v>171</v>
      </c>
      <c r="R48" s="40" t="s">
        <v>172</v>
      </c>
    </row>
    <row r="49" customFormat="false" ht="15" hidden="false" customHeight="true" outlineLevel="0" collapsed="false">
      <c r="A49" s="3" t="s">
        <v>235</v>
      </c>
      <c r="B49" s="3" t="s">
        <v>236</v>
      </c>
      <c r="C49" s="4" t="s">
        <v>42</v>
      </c>
      <c r="D49" s="5" t="s">
        <v>43</v>
      </c>
      <c r="E49" s="5" t="s">
        <v>44</v>
      </c>
      <c r="F49" s="5" t="s">
        <v>24</v>
      </c>
      <c r="G49" s="5" t="s">
        <v>25</v>
      </c>
      <c r="H49" s="5" t="s">
        <v>105</v>
      </c>
      <c r="I49" s="6" t="s">
        <v>45</v>
      </c>
      <c r="J49" s="5" t="s">
        <v>28</v>
      </c>
      <c r="K49" s="4" t="s">
        <v>46</v>
      </c>
      <c r="L49" s="4" t="s">
        <v>30</v>
      </c>
      <c r="M49" s="5"/>
      <c r="N49" s="5"/>
      <c r="O49" s="5"/>
      <c r="P49" s="7" t="n">
        <v>8</v>
      </c>
      <c r="Q49" s="8" t="s">
        <v>31</v>
      </c>
      <c r="R49" s="9"/>
    </row>
    <row r="50" customFormat="false" ht="15" hidden="false" customHeight="true" outlineLevel="0" collapsed="false">
      <c r="A50" s="33" t="s">
        <v>237</v>
      </c>
      <c r="B50" s="33" t="s">
        <v>238</v>
      </c>
      <c r="C50" s="34" t="s">
        <v>108</v>
      </c>
      <c r="D50" s="35" t="s">
        <v>109</v>
      </c>
      <c r="E50" s="35" t="s">
        <v>110</v>
      </c>
      <c r="F50" s="35" t="s">
        <v>37</v>
      </c>
      <c r="G50" s="35" t="s">
        <v>25</v>
      </c>
      <c r="H50" s="35" t="s">
        <v>26</v>
      </c>
      <c r="I50" s="36" t="s">
        <v>239</v>
      </c>
      <c r="J50" s="35" t="s">
        <v>169</v>
      </c>
      <c r="K50" s="34" t="s">
        <v>111</v>
      </c>
      <c r="L50" s="34" t="s">
        <v>112</v>
      </c>
      <c r="M50" s="35"/>
      <c r="N50" s="35"/>
      <c r="O50" s="37" t="s">
        <v>170</v>
      </c>
      <c r="P50" s="38" t="n">
        <v>30</v>
      </c>
      <c r="Q50" s="39" t="s">
        <v>171</v>
      </c>
      <c r="R50" s="40" t="s">
        <v>172</v>
      </c>
    </row>
    <row r="51" customFormat="false" ht="15" hidden="false" customHeight="true" outlineLevel="0" collapsed="false">
      <c r="A51" s="17" t="s">
        <v>240</v>
      </c>
      <c r="B51" s="17" t="s">
        <v>241</v>
      </c>
      <c r="C51" s="18" t="s">
        <v>242</v>
      </c>
      <c r="D51" s="19" t="s">
        <v>243</v>
      </c>
      <c r="E51" s="19" t="s">
        <v>244</v>
      </c>
      <c r="F51" s="19" t="s">
        <v>81</v>
      </c>
      <c r="G51" s="19" t="s">
        <v>65</v>
      </c>
      <c r="H51" s="19" t="s">
        <v>26</v>
      </c>
      <c r="I51" s="20" t="s">
        <v>39</v>
      </c>
      <c r="J51" s="19" t="s">
        <v>28</v>
      </c>
      <c r="K51" s="18" t="s">
        <v>46</v>
      </c>
      <c r="L51" s="18" t="s">
        <v>66</v>
      </c>
      <c r="M51" s="19" t="s">
        <v>67</v>
      </c>
      <c r="N51" s="19"/>
      <c r="O51" s="21" t="s">
        <v>65</v>
      </c>
      <c r="P51" s="25" t="n">
        <v>55</v>
      </c>
      <c r="Q51" s="23" t="s">
        <v>58</v>
      </c>
      <c r="R51" s="24" t="s">
        <v>68</v>
      </c>
    </row>
    <row r="52" customFormat="false" ht="15" hidden="false" customHeight="true" outlineLevel="0" collapsed="false">
      <c r="A52" s="10" t="s">
        <v>245</v>
      </c>
      <c r="B52" s="10" t="s">
        <v>246</v>
      </c>
      <c r="C52" s="11" t="s">
        <v>49</v>
      </c>
      <c r="D52" s="12" t="s">
        <v>50</v>
      </c>
      <c r="E52" s="12" t="s">
        <v>51</v>
      </c>
      <c r="F52" s="12" t="s">
        <v>52</v>
      </c>
      <c r="G52" s="12" t="s">
        <v>25</v>
      </c>
      <c r="H52" s="12" t="s">
        <v>105</v>
      </c>
      <c r="I52" s="13" t="s">
        <v>93</v>
      </c>
      <c r="J52" s="12" t="s">
        <v>28</v>
      </c>
      <c r="K52" s="11" t="s">
        <v>46</v>
      </c>
      <c r="L52" s="11" t="s">
        <v>30</v>
      </c>
      <c r="M52" s="12"/>
      <c r="N52" s="12"/>
      <c r="O52" s="12"/>
      <c r="P52" s="14" t="n">
        <v>11</v>
      </c>
      <c r="Q52" s="15" t="s">
        <v>31</v>
      </c>
      <c r="R52" s="16"/>
    </row>
    <row r="53" customFormat="false" ht="15" hidden="false" customHeight="true" outlineLevel="0" collapsed="false">
      <c r="A53" s="3" t="s">
        <v>247</v>
      </c>
      <c r="B53" s="3" t="s">
        <v>248</v>
      </c>
      <c r="C53" s="4" t="s">
        <v>195</v>
      </c>
      <c r="D53" s="5" t="s">
        <v>196</v>
      </c>
      <c r="E53" s="5" t="s">
        <v>92</v>
      </c>
      <c r="F53" s="5" t="s">
        <v>81</v>
      </c>
      <c r="G53" s="5" t="s">
        <v>25</v>
      </c>
      <c r="H53" s="5" t="s">
        <v>26</v>
      </c>
      <c r="I53" s="6" t="s">
        <v>249</v>
      </c>
      <c r="J53" s="5" t="s">
        <v>198</v>
      </c>
      <c r="K53" s="4" t="s">
        <v>29</v>
      </c>
      <c r="L53" s="4" t="s">
        <v>30</v>
      </c>
      <c r="M53" s="5"/>
      <c r="N53" s="5"/>
      <c r="O53" s="5"/>
      <c r="P53" s="7" t="n">
        <v>20</v>
      </c>
      <c r="Q53" s="8" t="s">
        <v>31</v>
      </c>
      <c r="R53" s="9"/>
    </row>
    <row r="54" customFormat="false" ht="15" hidden="false" customHeight="true" outlineLevel="0" collapsed="false">
      <c r="A54" s="33" t="s">
        <v>250</v>
      </c>
      <c r="B54" s="33" t="s">
        <v>251</v>
      </c>
      <c r="C54" s="34" t="s">
        <v>252</v>
      </c>
      <c r="D54" s="35" t="s">
        <v>253</v>
      </c>
      <c r="E54" s="35" t="s">
        <v>73</v>
      </c>
      <c r="F54" s="35" t="s">
        <v>74</v>
      </c>
      <c r="G54" s="35" t="s">
        <v>25</v>
      </c>
      <c r="H54" s="35" t="s">
        <v>105</v>
      </c>
      <c r="I54" s="36" t="s">
        <v>131</v>
      </c>
      <c r="J54" s="35" t="s">
        <v>28</v>
      </c>
      <c r="K54" s="34" t="s">
        <v>111</v>
      </c>
      <c r="L54" s="34" t="s">
        <v>112</v>
      </c>
      <c r="M54" s="35"/>
      <c r="N54" s="35"/>
      <c r="O54" s="37" t="s">
        <v>170</v>
      </c>
      <c r="P54" s="38" t="n">
        <v>30</v>
      </c>
      <c r="Q54" s="39" t="s">
        <v>171</v>
      </c>
      <c r="R54" s="40" t="s">
        <v>172</v>
      </c>
    </row>
    <row r="55" customFormat="false" ht="15" hidden="false" customHeight="true" outlineLevel="0" collapsed="false">
      <c r="A55" s="3" t="s">
        <v>254</v>
      </c>
      <c r="B55" s="3" t="s">
        <v>255</v>
      </c>
      <c r="C55" s="4" t="s">
        <v>148</v>
      </c>
      <c r="D55" s="5" t="s">
        <v>149</v>
      </c>
      <c r="E55" s="5" t="s">
        <v>123</v>
      </c>
      <c r="F55" s="5" t="s">
        <v>24</v>
      </c>
      <c r="G55" s="5" t="s">
        <v>25</v>
      </c>
      <c r="H55" s="5" t="s">
        <v>38</v>
      </c>
      <c r="I55" s="6" t="s">
        <v>131</v>
      </c>
      <c r="J55" s="5" t="s">
        <v>28</v>
      </c>
      <c r="K55" s="4" t="s">
        <v>46</v>
      </c>
      <c r="L55" s="4" t="s">
        <v>30</v>
      </c>
      <c r="M55" s="5"/>
      <c r="N55" s="5"/>
      <c r="O55" s="5"/>
      <c r="P55" s="7" t="n">
        <v>17</v>
      </c>
      <c r="Q55" s="8" t="s">
        <v>31</v>
      </c>
      <c r="R55" s="9"/>
    </row>
    <row r="56" customFormat="false" ht="15" hidden="false" customHeight="true" outlineLevel="0" collapsed="false">
      <c r="A56" s="10" t="s">
        <v>256</v>
      </c>
      <c r="B56" s="10" t="s">
        <v>257</v>
      </c>
      <c r="C56" s="11" t="s">
        <v>71</v>
      </c>
      <c r="D56" s="12" t="s">
        <v>72</v>
      </c>
      <c r="E56" s="12" t="s">
        <v>73</v>
      </c>
      <c r="F56" s="12" t="s">
        <v>74</v>
      </c>
      <c r="G56" s="12" t="s">
        <v>25</v>
      </c>
      <c r="H56" s="12" t="s">
        <v>105</v>
      </c>
      <c r="I56" s="13" t="s">
        <v>93</v>
      </c>
      <c r="J56" s="12" t="s">
        <v>28</v>
      </c>
      <c r="K56" s="11" t="s">
        <v>29</v>
      </c>
      <c r="L56" s="11" t="s">
        <v>30</v>
      </c>
      <c r="M56" s="12"/>
      <c r="N56" s="12"/>
      <c r="O56" s="12"/>
      <c r="P56" s="14" t="n">
        <v>17</v>
      </c>
      <c r="Q56" s="15" t="s">
        <v>31</v>
      </c>
      <c r="R56" s="16"/>
    </row>
    <row r="57" customFormat="false" ht="15" hidden="false" customHeight="true" outlineLevel="0" collapsed="false">
      <c r="A57" s="3" t="s">
        <v>258</v>
      </c>
      <c r="B57" s="3" t="s">
        <v>259</v>
      </c>
      <c r="C57" s="4" t="s">
        <v>42</v>
      </c>
      <c r="D57" s="5" t="s">
        <v>43</v>
      </c>
      <c r="E57" s="5" t="s">
        <v>44</v>
      </c>
      <c r="F57" s="5" t="s">
        <v>24</v>
      </c>
      <c r="G57" s="5" t="s">
        <v>25</v>
      </c>
      <c r="H57" s="5" t="s">
        <v>38</v>
      </c>
      <c r="I57" s="6" t="s">
        <v>163</v>
      </c>
      <c r="J57" s="5" t="s">
        <v>28</v>
      </c>
      <c r="K57" s="4" t="s">
        <v>29</v>
      </c>
      <c r="L57" s="4" t="s">
        <v>30</v>
      </c>
      <c r="M57" s="5"/>
      <c r="N57" s="5"/>
      <c r="O57" s="5"/>
      <c r="P57" s="7" t="n">
        <v>11</v>
      </c>
      <c r="Q57" s="8" t="s">
        <v>31</v>
      </c>
      <c r="R57" s="9"/>
    </row>
    <row r="58" customFormat="false" ht="15" hidden="false" customHeight="true" outlineLevel="0" collapsed="false">
      <c r="A58" s="10" t="s">
        <v>260</v>
      </c>
      <c r="B58" s="10" t="s">
        <v>261</v>
      </c>
      <c r="C58" s="11" t="s">
        <v>49</v>
      </c>
      <c r="D58" s="12" t="s">
        <v>50</v>
      </c>
      <c r="E58" s="12" t="s">
        <v>51</v>
      </c>
      <c r="F58" s="12" t="s">
        <v>52</v>
      </c>
      <c r="G58" s="12" t="s">
        <v>25</v>
      </c>
      <c r="H58" s="12" t="s">
        <v>26</v>
      </c>
      <c r="I58" s="13" t="s">
        <v>262</v>
      </c>
      <c r="J58" s="12" t="s">
        <v>28</v>
      </c>
      <c r="K58" s="11" t="s">
        <v>29</v>
      </c>
      <c r="L58" s="11" t="s">
        <v>30</v>
      </c>
      <c r="M58" s="12"/>
      <c r="N58" s="12"/>
      <c r="O58" s="12"/>
      <c r="P58" s="14" t="n">
        <v>10</v>
      </c>
      <c r="Q58" s="15" t="s">
        <v>31</v>
      </c>
      <c r="R58" s="16"/>
    </row>
    <row r="59" customFormat="false" ht="15" hidden="false" customHeight="true" outlineLevel="0" collapsed="false">
      <c r="A59" s="3" t="s">
        <v>263</v>
      </c>
      <c r="B59" s="3" t="s">
        <v>264</v>
      </c>
      <c r="C59" s="4" t="s">
        <v>49</v>
      </c>
      <c r="D59" s="5" t="s">
        <v>50</v>
      </c>
      <c r="E59" s="5" t="s">
        <v>51</v>
      </c>
      <c r="F59" s="5" t="s">
        <v>52</v>
      </c>
      <c r="G59" s="5" t="s">
        <v>25</v>
      </c>
      <c r="H59" s="5" t="s">
        <v>26</v>
      </c>
      <c r="I59" s="6" t="s">
        <v>163</v>
      </c>
      <c r="J59" s="5" t="s">
        <v>28</v>
      </c>
      <c r="K59" s="4" t="s">
        <v>29</v>
      </c>
      <c r="L59" s="4" t="s">
        <v>30</v>
      </c>
      <c r="M59" s="5"/>
      <c r="N59" s="5"/>
      <c r="O59" s="5"/>
      <c r="P59" s="7" t="n">
        <v>10</v>
      </c>
      <c r="Q59" s="8" t="s">
        <v>31</v>
      </c>
      <c r="R59" s="9"/>
    </row>
    <row r="60" customFormat="false" ht="15" hidden="false" customHeight="true" outlineLevel="0" collapsed="false">
      <c r="A60" s="10" t="s">
        <v>265</v>
      </c>
      <c r="B60" s="10" t="s">
        <v>266</v>
      </c>
      <c r="C60" s="11" t="s">
        <v>121</v>
      </c>
      <c r="D60" s="12" t="s">
        <v>122</v>
      </c>
      <c r="E60" s="12" t="s">
        <v>123</v>
      </c>
      <c r="F60" s="12" t="s">
        <v>24</v>
      </c>
      <c r="G60" s="12" t="s">
        <v>25</v>
      </c>
      <c r="H60" s="12" t="s">
        <v>26</v>
      </c>
      <c r="I60" s="13" t="s">
        <v>128</v>
      </c>
      <c r="J60" s="12" t="s">
        <v>28</v>
      </c>
      <c r="K60" s="11" t="s">
        <v>46</v>
      </c>
      <c r="L60" s="11" t="s">
        <v>30</v>
      </c>
      <c r="M60" s="12"/>
      <c r="N60" s="12"/>
      <c r="O60" s="12"/>
      <c r="P60" s="14" t="n">
        <v>11</v>
      </c>
      <c r="Q60" s="15" t="s">
        <v>31</v>
      </c>
      <c r="R60" s="16"/>
    </row>
    <row r="61" customFormat="false" ht="15" hidden="false" customHeight="true" outlineLevel="0" collapsed="false">
      <c r="A61" s="17" t="s">
        <v>267</v>
      </c>
      <c r="B61" s="17" t="s">
        <v>268</v>
      </c>
      <c r="C61" s="18" t="s">
        <v>242</v>
      </c>
      <c r="D61" s="19" t="s">
        <v>243</v>
      </c>
      <c r="E61" s="19" t="s">
        <v>244</v>
      </c>
      <c r="F61" s="19" t="s">
        <v>81</v>
      </c>
      <c r="G61" s="19" t="s">
        <v>65</v>
      </c>
      <c r="H61" s="19" t="s">
        <v>26</v>
      </c>
      <c r="I61" s="20" t="s">
        <v>75</v>
      </c>
      <c r="J61" s="19" t="s">
        <v>28</v>
      </c>
      <c r="K61" s="18" t="s">
        <v>46</v>
      </c>
      <c r="L61" s="18" t="s">
        <v>66</v>
      </c>
      <c r="M61" s="19" t="s">
        <v>67</v>
      </c>
      <c r="N61" s="19"/>
      <c r="O61" s="21" t="s">
        <v>65</v>
      </c>
      <c r="P61" s="25" t="n">
        <v>55</v>
      </c>
      <c r="Q61" s="23" t="s">
        <v>58</v>
      </c>
      <c r="R61" s="24" t="s">
        <v>68</v>
      </c>
    </row>
    <row r="62" customFormat="false" ht="15" hidden="false" customHeight="true" outlineLevel="0" collapsed="false">
      <c r="A62" s="17" t="s">
        <v>269</v>
      </c>
      <c r="B62" s="17" t="s">
        <v>270</v>
      </c>
      <c r="C62" s="18" t="s">
        <v>49</v>
      </c>
      <c r="D62" s="19" t="s">
        <v>50</v>
      </c>
      <c r="E62" s="19" t="s">
        <v>51</v>
      </c>
      <c r="F62" s="19" t="s">
        <v>52</v>
      </c>
      <c r="G62" s="19" t="s">
        <v>25</v>
      </c>
      <c r="H62" s="19" t="s">
        <v>96</v>
      </c>
      <c r="I62" s="20" t="s">
        <v>182</v>
      </c>
      <c r="J62" s="19" t="s">
        <v>183</v>
      </c>
      <c r="K62" s="18" t="s">
        <v>46</v>
      </c>
      <c r="L62" s="18" t="s">
        <v>30</v>
      </c>
      <c r="M62" s="19"/>
      <c r="N62" s="19"/>
      <c r="O62" s="21" t="s">
        <v>117</v>
      </c>
      <c r="P62" s="22" t="n">
        <v>80</v>
      </c>
      <c r="Q62" s="23" t="s">
        <v>58</v>
      </c>
      <c r="R62" s="24" t="s">
        <v>271</v>
      </c>
    </row>
    <row r="63" customFormat="false" ht="15" hidden="false" customHeight="true" outlineLevel="0" collapsed="false">
      <c r="A63" s="33" t="s">
        <v>272</v>
      </c>
      <c r="B63" s="33" t="s">
        <v>273</v>
      </c>
      <c r="C63" s="34" t="s">
        <v>252</v>
      </c>
      <c r="D63" s="35" t="s">
        <v>253</v>
      </c>
      <c r="E63" s="35" t="s">
        <v>73</v>
      </c>
      <c r="F63" s="35" t="s">
        <v>74</v>
      </c>
      <c r="G63" s="35" t="s">
        <v>25</v>
      </c>
      <c r="H63" s="35" t="s">
        <v>26</v>
      </c>
      <c r="I63" s="36" t="s">
        <v>55</v>
      </c>
      <c r="J63" s="35" t="s">
        <v>28</v>
      </c>
      <c r="K63" s="34" t="s">
        <v>111</v>
      </c>
      <c r="L63" s="34" t="s">
        <v>112</v>
      </c>
      <c r="M63" s="35"/>
      <c r="N63" s="35"/>
      <c r="O63" s="37" t="s">
        <v>170</v>
      </c>
      <c r="P63" s="38" t="n">
        <v>30</v>
      </c>
      <c r="Q63" s="39" t="s">
        <v>171</v>
      </c>
      <c r="R63" s="40" t="s">
        <v>172</v>
      </c>
    </row>
    <row r="64" customFormat="false" ht="15" hidden="false" customHeight="true" outlineLevel="0" collapsed="false">
      <c r="A64" s="17" t="s">
        <v>274</v>
      </c>
      <c r="B64" s="17" t="s">
        <v>275</v>
      </c>
      <c r="C64" s="18" t="s">
        <v>49</v>
      </c>
      <c r="D64" s="19" t="s">
        <v>50</v>
      </c>
      <c r="E64" s="19" t="s">
        <v>51</v>
      </c>
      <c r="F64" s="19" t="s">
        <v>52</v>
      </c>
      <c r="G64" s="19" t="s">
        <v>25</v>
      </c>
      <c r="H64" s="19" t="s">
        <v>54</v>
      </c>
      <c r="I64" s="20" t="s">
        <v>182</v>
      </c>
      <c r="J64" s="19" t="s">
        <v>183</v>
      </c>
      <c r="K64" s="18" t="s">
        <v>46</v>
      </c>
      <c r="L64" s="18" t="s">
        <v>30</v>
      </c>
      <c r="M64" s="19"/>
      <c r="N64" s="19"/>
      <c r="O64" s="21" t="s">
        <v>117</v>
      </c>
      <c r="P64" s="22" t="n">
        <v>80</v>
      </c>
      <c r="Q64" s="23" t="s">
        <v>58</v>
      </c>
      <c r="R64" s="24" t="s">
        <v>276</v>
      </c>
    </row>
    <row r="65" customFormat="false" ht="15" hidden="false" customHeight="true" outlineLevel="0" collapsed="false">
      <c r="A65" s="3" t="s">
        <v>277</v>
      </c>
      <c r="B65" s="3" t="s">
        <v>278</v>
      </c>
      <c r="C65" s="4" t="s">
        <v>103</v>
      </c>
      <c r="D65" s="5" t="s">
        <v>104</v>
      </c>
      <c r="E65" s="5" t="s">
        <v>80</v>
      </c>
      <c r="F65" s="5" t="s">
        <v>81</v>
      </c>
      <c r="G65" s="5" t="s">
        <v>25</v>
      </c>
      <c r="H65" s="5" t="s">
        <v>105</v>
      </c>
      <c r="I65" s="6" t="s">
        <v>131</v>
      </c>
      <c r="J65" s="5" t="s">
        <v>28</v>
      </c>
      <c r="K65" s="4" t="s">
        <v>29</v>
      </c>
      <c r="L65" s="4" t="s">
        <v>30</v>
      </c>
      <c r="M65" s="5"/>
      <c r="N65" s="5"/>
      <c r="O65" s="5"/>
      <c r="P65" s="7" t="n">
        <v>6</v>
      </c>
      <c r="Q65" s="8" t="s">
        <v>31</v>
      </c>
      <c r="R65" s="9"/>
    </row>
    <row r="66" customFormat="false" ht="15" hidden="false" customHeight="true" outlineLevel="0" collapsed="false">
      <c r="A66" s="17" t="s">
        <v>279</v>
      </c>
      <c r="B66" s="17" t="s">
        <v>280</v>
      </c>
      <c r="C66" s="18" t="s">
        <v>49</v>
      </c>
      <c r="D66" s="19" t="s">
        <v>50</v>
      </c>
      <c r="E66" s="19" t="s">
        <v>51</v>
      </c>
      <c r="F66" s="19" t="s">
        <v>52</v>
      </c>
      <c r="G66" s="19" t="s">
        <v>281</v>
      </c>
      <c r="H66" s="19" t="s">
        <v>26</v>
      </c>
      <c r="I66" s="20" t="s">
        <v>55</v>
      </c>
      <c r="J66" s="19" t="s">
        <v>28</v>
      </c>
      <c r="K66" s="18" t="s">
        <v>282</v>
      </c>
      <c r="L66" s="18" t="s">
        <v>282</v>
      </c>
      <c r="M66" s="19" t="s">
        <v>283</v>
      </c>
      <c r="N66" s="19"/>
      <c r="O66" s="21" t="s">
        <v>284</v>
      </c>
      <c r="P66" s="23" t="n">
        <v>70</v>
      </c>
      <c r="Q66" s="23" t="s">
        <v>58</v>
      </c>
      <c r="R66" s="24" t="s">
        <v>285</v>
      </c>
    </row>
    <row r="67" customFormat="false" ht="15" hidden="false" customHeight="true" outlineLevel="0" collapsed="false">
      <c r="A67" s="17" t="s">
        <v>286</v>
      </c>
      <c r="B67" s="17" t="s">
        <v>287</v>
      </c>
      <c r="C67" s="18" t="s">
        <v>49</v>
      </c>
      <c r="D67" s="19" t="s">
        <v>50</v>
      </c>
      <c r="E67" s="19" t="s">
        <v>51</v>
      </c>
      <c r="F67" s="19" t="s">
        <v>52</v>
      </c>
      <c r="G67" s="19" t="s">
        <v>281</v>
      </c>
      <c r="H67" s="19" t="s">
        <v>26</v>
      </c>
      <c r="I67" s="20" t="s">
        <v>55</v>
      </c>
      <c r="J67" s="19" t="s">
        <v>28</v>
      </c>
      <c r="K67" s="18" t="s">
        <v>282</v>
      </c>
      <c r="L67" s="18" t="s">
        <v>282</v>
      </c>
      <c r="M67" s="19" t="s">
        <v>283</v>
      </c>
      <c r="N67" s="19"/>
      <c r="O67" s="21" t="s">
        <v>284</v>
      </c>
      <c r="P67" s="23" t="n">
        <v>70</v>
      </c>
      <c r="Q67" s="23" t="s">
        <v>58</v>
      </c>
      <c r="R67" s="24" t="s">
        <v>285</v>
      </c>
    </row>
    <row r="68" customFormat="false" ht="15" hidden="false" customHeight="true" outlineLevel="0" collapsed="false">
      <c r="A68" s="17" t="s">
        <v>288</v>
      </c>
      <c r="B68" s="17" t="s">
        <v>289</v>
      </c>
      <c r="C68" s="18" t="s">
        <v>49</v>
      </c>
      <c r="D68" s="19" t="s">
        <v>50</v>
      </c>
      <c r="E68" s="19" t="s">
        <v>51</v>
      </c>
      <c r="F68" s="19" t="s">
        <v>52</v>
      </c>
      <c r="G68" s="19" t="s">
        <v>281</v>
      </c>
      <c r="H68" s="19" t="s">
        <v>54</v>
      </c>
      <c r="I68" s="20" t="s">
        <v>27</v>
      </c>
      <c r="J68" s="19" t="s">
        <v>28</v>
      </c>
      <c r="K68" s="18" t="s">
        <v>282</v>
      </c>
      <c r="L68" s="18" t="s">
        <v>282</v>
      </c>
      <c r="M68" s="19" t="s">
        <v>283</v>
      </c>
      <c r="N68" s="19"/>
      <c r="O68" s="21" t="s">
        <v>284</v>
      </c>
      <c r="P68" s="23" t="n">
        <v>70</v>
      </c>
      <c r="Q68" s="23" t="s">
        <v>58</v>
      </c>
      <c r="R68" s="24" t="s">
        <v>285</v>
      </c>
    </row>
    <row r="69" customFormat="false" ht="15" hidden="false" customHeight="true" outlineLevel="0" collapsed="false">
      <c r="A69" s="17" t="s">
        <v>290</v>
      </c>
      <c r="B69" s="17" t="s">
        <v>291</v>
      </c>
      <c r="C69" s="18" t="s">
        <v>49</v>
      </c>
      <c r="D69" s="19" t="s">
        <v>50</v>
      </c>
      <c r="E69" s="19" t="s">
        <v>51</v>
      </c>
      <c r="F69" s="19" t="s">
        <v>52</v>
      </c>
      <c r="G69" s="19" t="s">
        <v>281</v>
      </c>
      <c r="H69" s="19" t="s">
        <v>54</v>
      </c>
      <c r="I69" s="20" t="s">
        <v>45</v>
      </c>
      <c r="J69" s="19" t="s">
        <v>28</v>
      </c>
      <c r="K69" s="18" t="s">
        <v>282</v>
      </c>
      <c r="L69" s="18" t="s">
        <v>282</v>
      </c>
      <c r="M69" s="19" t="s">
        <v>283</v>
      </c>
      <c r="N69" s="19"/>
      <c r="O69" s="21" t="s">
        <v>284</v>
      </c>
      <c r="P69" s="23" t="n">
        <v>70</v>
      </c>
      <c r="Q69" s="23" t="s">
        <v>58</v>
      </c>
      <c r="R69" s="24" t="s">
        <v>285</v>
      </c>
    </row>
    <row r="70" customFormat="false" ht="15" hidden="false" customHeight="true" outlineLevel="0" collapsed="false">
      <c r="A70" s="17" t="s">
        <v>292</v>
      </c>
      <c r="B70" s="17" t="s">
        <v>293</v>
      </c>
      <c r="C70" s="18" t="s">
        <v>49</v>
      </c>
      <c r="D70" s="19" t="s">
        <v>50</v>
      </c>
      <c r="E70" s="19" t="s">
        <v>51</v>
      </c>
      <c r="F70" s="19" t="s">
        <v>52</v>
      </c>
      <c r="G70" s="19" t="s">
        <v>281</v>
      </c>
      <c r="H70" s="19" t="s">
        <v>38</v>
      </c>
      <c r="I70" s="20" t="s">
        <v>55</v>
      </c>
      <c r="J70" s="19" t="s">
        <v>28</v>
      </c>
      <c r="K70" s="18" t="s">
        <v>282</v>
      </c>
      <c r="L70" s="18" t="s">
        <v>282</v>
      </c>
      <c r="M70" s="19" t="s">
        <v>283</v>
      </c>
      <c r="N70" s="19"/>
      <c r="O70" s="21" t="s">
        <v>284</v>
      </c>
      <c r="P70" s="23" t="n">
        <v>70</v>
      </c>
      <c r="Q70" s="23" t="s">
        <v>58</v>
      </c>
      <c r="R70" s="24" t="s">
        <v>285</v>
      </c>
    </row>
    <row r="71" customFormat="false" ht="15" hidden="false" customHeight="true" outlineLevel="0" collapsed="false">
      <c r="A71" s="17" t="s">
        <v>294</v>
      </c>
      <c r="B71" s="17" t="s">
        <v>295</v>
      </c>
      <c r="C71" s="18" t="s">
        <v>49</v>
      </c>
      <c r="D71" s="19" t="s">
        <v>50</v>
      </c>
      <c r="E71" s="19" t="s">
        <v>51</v>
      </c>
      <c r="F71" s="19" t="s">
        <v>52</v>
      </c>
      <c r="G71" s="19" t="s">
        <v>281</v>
      </c>
      <c r="H71" s="19" t="s">
        <v>54</v>
      </c>
      <c r="I71" s="20" t="s">
        <v>27</v>
      </c>
      <c r="J71" s="19" t="s">
        <v>28</v>
      </c>
      <c r="K71" s="18" t="s">
        <v>282</v>
      </c>
      <c r="L71" s="18" t="s">
        <v>282</v>
      </c>
      <c r="M71" s="19" t="s">
        <v>283</v>
      </c>
      <c r="N71" s="19"/>
      <c r="O71" s="21" t="s">
        <v>284</v>
      </c>
      <c r="P71" s="23" t="n">
        <v>70</v>
      </c>
      <c r="Q71" s="23" t="s">
        <v>58</v>
      </c>
      <c r="R71" s="24" t="s">
        <v>285</v>
      </c>
    </row>
    <row r="72" customFormat="false" ht="15" hidden="false" customHeight="true" outlineLevel="0" collapsed="false">
      <c r="A72" s="17" t="s">
        <v>296</v>
      </c>
      <c r="B72" s="17" t="s">
        <v>297</v>
      </c>
      <c r="C72" s="18" t="s">
        <v>49</v>
      </c>
      <c r="D72" s="19" t="s">
        <v>50</v>
      </c>
      <c r="E72" s="19" t="s">
        <v>51</v>
      </c>
      <c r="F72" s="19" t="s">
        <v>52</v>
      </c>
      <c r="G72" s="19" t="s">
        <v>281</v>
      </c>
      <c r="H72" s="19" t="s">
        <v>38</v>
      </c>
      <c r="I72" s="20" t="s">
        <v>27</v>
      </c>
      <c r="J72" s="19" t="s">
        <v>28</v>
      </c>
      <c r="K72" s="18" t="s">
        <v>282</v>
      </c>
      <c r="L72" s="18" t="s">
        <v>282</v>
      </c>
      <c r="M72" s="19" t="s">
        <v>283</v>
      </c>
      <c r="N72" s="19"/>
      <c r="O72" s="21" t="s">
        <v>284</v>
      </c>
      <c r="P72" s="23" t="n">
        <v>70</v>
      </c>
      <c r="Q72" s="23" t="s">
        <v>58</v>
      </c>
      <c r="R72" s="24" t="s">
        <v>285</v>
      </c>
    </row>
    <row r="73" customFormat="false" ht="15" hidden="false" customHeight="true" outlineLevel="0" collapsed="false">
      <c r="A73" s="3" t="s">
        <v>298</v>
      </c>
      <c r="B73" s="3" t="s">
        <v>299</v>
      </c>
      <c r="C73" s="4" t="s">
        <v>121</v>
      </c>
      <c r="D73" s="5" t="s">
        <v>122</v>
      </c>
      <c r="E73" s="5" t="s">
        <v>123</v>
      </c>
      <c r="F73" s="5" t="s">
        <v>24</v>
      </c>
      <c r="G73" s="5" t="s">
        <v>25</v>
      </c>
      <c r="H73" s="5" t="s">
        <v>38</v>
      </c>
      <c r="I73" s="6" t="s">
        <v>93</v>
      </c>
      <c r="J73" s="5" t="s">
        <v>28</v>
      </c>
      <c r="K73" s="4" t="s">
        <v>46</v>
      </c>
      <c r="L73" s="4" t="s">
        <v>30</v>
      </c>
      <c r="M73" s="5"/>
      <c r="N73" s="5"/>
      <c r="O73" s="5"/>
      <c r="P73" s="7" t="n">
        <v>8</v>
      </c>
      <c r="Q73" s="8" t="s">
        <v>31</v>
      </c>
      <c r="R73" s="9"/>
    </row>
    <row r="74" customFormat="false" ht="15" hidden="false" customHeight="true" outlineLevel="0" collapsed="false">
      <c r="A74" s="10" t="s">
        <v>300</v>
      </c>
      <c r="B74" s="10" t="s">
        <v>301</v>
      </c>
      <c r="C74" s="11" t="s">
        <v>148</v>
      </c>
      <c r="D74" s="12" t="s">
        <v>149</v>
      </c>
      <c r="E74" s="12" t="s">
        <v>123</v>
      </c>
      <c r="F74" s="12" t="s">
        <v>24</v>
      </c>
      <c r="G74" s="12" t="s">
        <v>25</v>
      </c>
      <c r="H74" s="12" t="s">
        <v>26</v>
      </c>
      <c r="I74" s="13" t="s">
        <v>163</v>
      </c>
      <c r="J74" s="12" t="s">
        <v>28</v>
      </c>
      <c r="K74" s="11" t="s">
        <v>29</v>
      </c>
      <c r="L74" s="11" t="s">
        <v>30</v>
      </c>
      <c r="M74" s="12"/>
      <c r="N74" s="12"/>
      <c r="O74" s="12"/>
      <c r="P74" s="14" t="n">
        <v>10</v>
      </c>
      <c r="Q74" s="15" t="s">
        <v>31</v>
      </c>
      <c r="R74" s="16"/>
    </row>
    <row r="75" customFormat="false" ht="15" hidden="false" customHeight="true" outlineLevel="0" collapsed="false">
      <c r="A75" s="26" t="s">
        <v>302</v>
      </c>
      <c r="B75" s="26" t="s">
        <v>303</v>
      </c>
      <c r="C75" s="27" t="s">
        <v>148</v>
      </c>
      <c r="D75" s="28" t="s">
        <v>149</v>
      </c>
      <c r="E75" s="28" t="s">
        <v>123</v>
      </c>
      <c r="F75" s="28" t="s">
        <v>24</v>
      </c>
      <c r="G75" s="28" t="s">
        <v>153</v>
      </c>
      <c r="H75" s="28" t="s">
        <v>54</v>
      </c>
      <c r="I75" s="29" t="s">
        <v>227</v>
      </c>
      <c r="J75" s="28" t="s">
        <v>228</v>
      </c>
      <c r="K75" s="27" t="s">
        <v>29</v>
      </c>
      <c r="L75" s="27" t="s">
        <v>30</v>
      </c>
      <c r="M75" s="28"/>
      <c r="N75" s="28"/>
      <c r="O75" s="30" t="s">
        <v>154</v>
      </c>
      <c r="P75" s="31" t="n">
        <v>95</v>
      </c>
      <c r="Q75" s="31" t="s">
        <v>155</v>
      </c>
      <c r="R75" s="32" t="s">
        <v>304</v>
      </c>
    </row>
    <row r="76" customFormat="false" ht="15" hidden="false" customHeight="true" outlineLevel="0" collapsed="false">
      <c r="A76" s="10" t="s">
        <v>305</v>
      </c>
      <c r="B76" s="10" t="s">
        <v>306</v>
      </c>
      <c r="C76" s="11" t="s">
        <v>49</v>
      </c>
      <c r="D76" s="12" t="s">
        <v>50</v>
      </c>
      <c r="E76" s="12" t="s">
        <v>51</v>
      </c>
      <c r="F76" s="12" t="s">
        <v>52</v>
      </c>
      <c r="G76" s="12" t="s">
        <v>25</v>
      </c>
      <c r="H76" s="12" t="s">
        <v>26</v>
      </c>
      <c r="I76" s="13" t="s">
        <v>93</v>
      </c>
      <c r="J76" s="12" t="s">
        <v>28</v>
      </c>
      <c r="K76" s="11" t="s">
        <v>29</v>
      </c>
      <c r="L76" s="11" t="s">
        <v>30</v>
      </c>
      <c r="M76" s="12"/>
      <c r="N76" s="12"/>
      <c r="O76" s="12"/>
      <c r="P76" s="14" t="n">
        <v>10</v>
      </c>
      <c r="Q76" s="15" t="s">
        <v>31</v>
      </c>
      <c r="R76" s="16"/>
    </row>
    <row r="77" customFormat="false" ht="15" hidden="false" customHeight="true" outlineLevel="0" collapsed="false">
      <c r="A77" s="17" t="s">
        <v>307</v>
      </c>
      <c r="B77" s="17" t="s">
        <v>308</v>
      </c>
      <c r="C77" s="18" t="s">
        <v>49</v>
      </c>
      <c r="D77" s="19" t="s">
        <v>50</v>
      </c>
      <c r="E77" s="19" t="s">
        <v>51</v>
      </c>
      <c r="F77" s="19" t="s">
        <v>52</v>
      </c>
      <c r="G77" s="19" t="s">
        <v>25</v>
      </c>
      <c r="H77" s="19" t="s">
        <v>54</v>
      </c>
      <c r="I77" s="20" t="s">
        <v>115</v>
      </c>
      <c r="J77" s="19" t="s">
        <v>116</v>
      </c>
      <c r="K77" s="18" t="s">
        <v>29</v>
      </c>
      <c r="L77" s="18" t="s">
        <v>30</v>
      </c>
      <c r="M77" s="19"/>
      <c r="N77" s="19"/>
      <c r="O77" s="21" t="s">
        <v>117</v>
      </c>
      <c r="P77" s="22" t="n">
        <v>80</v>
      </c>
      <c r="Q77" s="23" t="s">
        <v>58</v>
      </c>
      <c r="R77" s="24" t="s">
        <v>309</v>
      </c>
    </row>
    <row r="78" customFormat="false" ht="15" hidden="false" customHeight="true" outlineLevel="0" collapsed="false">
      <c r="A78" s="10" t="s">
        <v>310</v>
      </c>
      <c r="B78" s="10" t="s">
        <v>311</v>
      </c>
      <c r="C78" s="11" t="s">
        <v>159</v>
      </c>
      <c r="D78" s="12" t="s">
        <v>160</v>
      </c>
      <c r="E78" s="12" t="s">
        <v>110</v>
      </c>
      <c r="F78" s="12" t="s">
        <v>37</v>
      </c>
      <c r="G78" s="12" t="s">
        <v>25</v>
      </c>
      <c r="H78" s="12" t="s">
        <v>26</v>
      </c>
      <c r="I78" s="13" t="s">
        <v>97</v>
      </c>
      <c r="J78" s="12" t="s">
        <v>28</v>
      </c>
      <c r="K78" s="11" t="s">
        <v>29</v>
      </c>
      <c r="L78" s="11" t="s">
        <v>30</v>
      </c>
      <c r="M78" s="12"/>
      <c r="N78" s="12"/>
      <c r="O78" s="12"/>
      <c r="P78" s="14" t="n">
        <v>10</v>
      </c>
      <c r="Q78" s="15" t="s">
        <v>31</v>
      </c>
      <c r="R78" s="16"/>
    </row>
    <row r="79" customFormat="false" ht="15" hidden="false" customHeight="true" outlineLevel="0" collapsed="false">
      <c r="A79" s="17" t="s">
        <v>312</v>
      </c>
      <c r="B79" s="17" t="s">
        <v>313</v>
      </c>
      <c r="C79" s="18" t="s">
        <v>49</v>
      </c>
      <c r="D79" s="19" t="s">
        <v>50</v>
      </c>
      <c r="E79" s="19" t="s">
        <v>51</v>
      </c>
      <c r="F79" s="19" t="s">
        <v>52</v>
      </c>
      <c r="G79" s="19" t="s">
        <v>53</v>
      </c>
      <c r="H79" s="19" t="s">
        <v>96</v>
      </c>
      <c r="I79" s="20" t="s">
        <v>55</v>
      </c>
      <c r="J79" s="19" t="s">
        <v>28</v>
      </c>
      <c r="K79" s="18" t="s">
        <v>46</v>
      </c>
      <c r="L79" s="18" t="s">
        <v>30</v>
      </c>
      <c r="M79" s="19"/>
      <c r="N79" s="19" t="s">
        <v>314</v>
      </c>
      <c r="O79" s="21" t="s">
        <v>57</v>
      </c>
      <c r="P79" s="22" t="n">
        <v>80</v>
      </c>
      <c r="Q79" s="23" t="s">
        <v>58</v>
      </c>
      <c r="R79" s="24" t="s">
        <v>315</v>
      </c>
    </row>
    <row r="80" customFormat="false" ht="15" hidden="false" customHeight="true" outlineLevel="0" collapsed="false">
      <c r="A80" s="17" t="s">
        <v>316</v>
      </c>
      <c r="B80" s="17" t="s">
        <v>317</v>
      </c>
      <c r="C80" s="18" t="s">
        <v>159</v>
      </c>
      <c r="D80" s="19" t="s">
        <v>160</v>
      </c>
      <c r="E80" s="19" t="s">
        <v>110</v>
      </c>
      <c r="F80" s="19" t="s">
        <v>37</v>
      </c>
      <c r="G80" s="19" t="s">
        <v>25</v>
      </c>
      <c r="H80" s="19" t="s">
        <v>54</v>
      </c>
      <c r="I80" s="20" t="s">
        <v>134</v>
      </c>
      <c r="J80" s="19" t="s">
        <v>135</v>
      </c>
      <c r="K80" s="18" t="s">
        <v>29</v>
      </c>
      <c r="L80" s="18" t="s">
        <v>30</v>
      </c>
      <c r="M80" s="19"/>
      <c r="N80" s="19"/>
      <c r="O80" s="21" t="s">
        <v>117</v>
      </c>
      <c r="P80" s="22" t="n">
        <v>80</v>
      </c>
      <c r="Q80" s="23" t="s">
        <v>58</v>
      </c>
      <c r="R80" s="24" t="s">
        <v>318</v>
      </c>
    </row>
    <row r="81" customFormat="false" ht="15" hidden="false" customHeight="true" outlineLevel="0" collapsed="false">
      <c r="A81" s="26" t="s">
        <v>319</v>
      </c>
      <c r="B81" s="26" t="s">
        <v>320</v>
      </c>
      <c r="C81" s="27" t="s">
        <v>219</v>
      </c>
      <c r="D81" s="28" t="s">
        <v>220</v>
      </c>
      <c r="E81" s="28" t="s">
        <v>80</v>
      </c>
      <c r="F81" s="28" t="s">
        <v>81</v>
      </c>
      <c r="G81" s="28" t="s">
        <v>53</v>
      </c>
      <c r="H81" s="28" t="s">
        <v>96</v>
      </c>
      <c r="I81" s="29" t="s">
        <v>97</v>
      </c>
      <c r="J81" s="28" t="s">
        <v>28</v>
      </c>
      <c r="K81" s="27" t="s">
        <v>29</v>
      </c>
      <c r="L81" s="27" t="s">
        <v>30</v>
      </c>
      <c r="M81" s="28"/>
      <c r="N81" s="28" t="s">
        <v>321</v>
      </c>
      <c r="O81" s="30" t="s">
        <v>322</v>
      </c>
      <c r="P81" s="31" t="n">
        <v>95</v>
      </c>
      <c r="Q81" s="31" t="s">
        <v>155</v>
      </c>
      <c r="R81" s="32" t="s">
        <v>323</v>
      </c>
    </row>
    <row r="82" customFormat="false" ht="15" hidden="false" customHeight="true" outlineLevel="0" collapsed="false">
      <c r="A82" s="10" t="s">
        <v>324</v>
      </c>
      <c r="B82" s="10" t="s">
        <v>325</v>
      </c>
      <c r="C82" s="11" t="s">
        <v>21</v>
      </c>
      <c r="D82" s="12" t="s">
        <v>22</v>
      </c>
      <c r="E82" s="12" t="s">
        <v>23</v>
      </c>
      <c r="F82" s="12" t="s">
        <v>24</v>
      </c>
      <c r="G82" s="12" t="s">
        <v>25</v>
      </c>
      <c r="H82" s="12" t="s">
        <v>38</v>
      </c>
      <c r="I82" s="13" t="s">
        <v>45</v>
      </c>
      <c r="J82" s="12" t="s">
        <v>28</v>
      </c>
      <c r="K82" s="11" t="s">
        <v>29</v>
      </c>
      <c r="L82" s="11" t="s">
        <v>30</v>
      </c>
      <c r="M82" s="12"/>
      <c r="N82" s="12"/>
      <c r="O82" s="12"/>
      <c r="P82" s="14" t="n">
        <v>12</v>
      </c>
      <c r="Q82" s="15" t="s">
        <v>31</v>
      </c>
      <c r="R82" s="16"/>
    </row>
    <row r="83" customFormat="false" ht="15" hidden="false" customHeight="true" outlineLevel="0" collapsed="false">
      <c r="A83" s="3" t="s">
        <v>326</v>
      </c>
      <c r="B83" s="3" t="s">
        <v>327</v>
      </c>
      <c r="C83" s="4" t="s">
        <v>187</v>
      </c>
      <c r="D83" s="5" t="s">
        <v>188</v>
      </c>
      <c r="E83" s="5" t="s">
        <v>44</v>
      </c>
      <c r="F83" s="5" t="s">
        <v>24</v>
      </c>
      <c r="G83" s="5" t="s">
        <v>25</v>
      </c>
      <c r="H83" s="5" t="s">
        <v>26</v>
      </c>
      <c r="I83" s="6" t="s">
        <v>163</v>
      </c>
      <c r="J83" s="5" t="s">
        <v>28</v>
      </c>
      <c r="K83" s="4" t="s">
        <v>29</v>
      </c>
      <c r="L83" s="4" t="s">
        <v>30</v>
      </c>
      <c r="M83" s="5"/>
      <c r="N83" s="5"/>
      <c r="O83" s="5"/>
      <c r="P83" s="7" t="n">
        <v>10</v>
      </c>
      <c r="Q83" s="8" t="s">
        <v>31</v>
      </c>
      <c r="R83" s="9"/>
    </row>
    <row r="84" customFormat="false" ht="15" hidden="false" customHeight="true" outlineLevel="0" collapsed="false">
      <c r="A84" s="10" t="s">
        <v>328</v>
      </c>
      <c r="B84" s="10" t="s">
        <v>329</v>
      </c>
      <c r="C84" s="11" t="s">
        <v>103</v>
      </c>
      <c r="D84" s="12" t="s">
        <v>104</v>
      </c>
      <c r="E84" s="12" t="s">
        <v>80</v>
      </c>
      <c r="F84" s="12" t="s">
        <v>81</v>
      </c>
      <c r="G84" s="12" t="s">
        <v>25</v>
      </c>
      <c r="H84" s="12" t="s">
        <v>38</v>
      </c>
      <c r="I84" s="13" t="s">
        <v>131</v>
      </c>
      <c r="J84" s="12" t="s">
        <v>28</v>
      </c>
      <c r="K84" s="11" t="s">
        <v>29</v>
      </c>
      <c r="L84" s="11" t="s">
        <v>30</v>
      </c>
      <c r="M84" s="12"/>
      <c r="N84" s="12"/>
      <c r="O84" s="12"/>
      <c r="P84" s="14" t="n">
        <v>11</v>
      </c>
      <c r="Q84" s="15" t="s">
        <v>31</v>
      </c>
      <c r="R84" s="16"/>
    </row>
    <row r="85" customFormat="false" ht="15" hidden="false" customHeight="true" outlineLevel="0" collapsed="false">
      <c r="A85" s="3" t="s">
        <v>330</v>
      </c>
      <c r="B85" s="3" t="s">
        <v>331</v>
      </c>
      <c r="C85" s="4" t="s">
        <v>143</v>
      </c>
      <c r="D85" s="5" t="s">
        <v>144</v>
      </c>
      <c r="E85" s="5" t="s">
        <v>145</v>
      </c>
      <c r="F85" s="5" t="s">
        <v>81</v>
      </c>
      <c r="G85" s="5" t="s">
        <v>25</v>
      </c>
      <c r="H85" s="5" t="s">
        <v>38</v>
      </c>
      <c r="I85" s="6" t="s">
        <v>75</v>
      </c>
      <c r="J85" s="5" t="s">
        <v>28</v>
      </c>
      <c r="K85" s="4" t="s">
        <v>29</v>
      </c>
      <c r="L85" s="4" t="s">
        <v>30</v>
      </c>
      <c r="M85" s="5"/>
      <c r="N85" s="5"/>
      <c r="O85" s="5"/>
      <c r="P85" s="7" t="n">
        <v>13</v>
      </c>
      <c r="Q85" s="8" t="s">
        <v>31</v>
      </c>
      <c r="R85" s="9"/>
    </row>
    <row r="86" customFormat="false" ht="15" hidden="false" customHeight="true" outlineLevel="0" collapsed="false">
      <c r="A86" s="10" t="s">
        <v>332</v>
      </c>
      <c r="B86" s="10" t="s">
        <v>333</v>
      </c>
      <c r="C86" s="11" t="s">
        <v>187</v>
      </c>
      <c r="D86" s="12" t="s">
        <v>188</v>
      </c>
      <c r="E86" s="12" t="s">
        <v>44</v>
      </c>
      <c r="F86" s="12" t="s">
        <v>24</v>
      </c>
      <c r="G86" s="12" t="s">
        <v>25</v>
      </c>
      <c r="H86" s="12" t="s">
        <v>105</v>
      </c>
      <c r="I86" s="13" t="s">
        <v>163</v>
      </c>
      <c r="J86" s="12" t="s">
        <v>28</v>
      </c>
      <c r="K86" s="11" t="s">
        <v>29</v>
      </c>
      <c r="L86" s="11" t="s">
        <v>30</v>
      </c>
      <c r="M86" s="12"/>
      <c r="N86" s="12"/>
      <c r="O86" s="12"/>
      <c r="P86" s="14" t="n">
        <v>14</v>
      </c>
      <c r="Q86" s="15" t="s">
        <v>31</v>
      </c>
      <c r="R86" s="16"/>
    </row>
    <row r="87" customFormat="false" ht="15" hidden="false" customHeight="true" outlineLevel="0" collapsed="false">
      <c r="A87" s="3" t="s">
        <v>334</v>
      </c>
      <c r="B87" s="3" t="s">
        <v>335</v>
      </c>
      <c r="C87" s="4" t="s">
        <v>336</v>
      </c>
      <c r="D87" s="5" t="s">
        <v>337</v>
      </c>
      <c r="E87" s="5" t="s">
        <v>80</v>
      </c>
      <c r="F87" s="5" t="s">
        <v>81</v>
      </c>
      <c r="G87" s="5" t="s">
        <v>25</v>
      </c>
      <c r="H87" s="5" t="s">
        <v>26</v>
      </c>
      <c r="I87" s="6" t="s">
        <v>338</v>
      </c>
      <c r="J87" s="5" t="s">
        <v>339</v>
      </c>
      <c r="K87" s="4" t="s">
        <v>29</v>
      </c>
      <c r="L87" s="4" t="s">
        <v>30</v>
      </c>
      <c r="M87" s="5"/>
      <c r="N87" s="5"/>
      <c r="O87" s="5"/>
      <c r="P87" s="7" t="n">
        <v>11</v>
      </c>
      <c r="Q87" s="8" t="s">
        <v>31</v>
      </c>
      <c r="R87" s="9"/>
    </row>
    <row r="88" customFormat="false" ht="15" hidden="false" customHeight="true" outlineLevel="0" collapsed="false">
      <c r="A88" s="10" t="s">
        <v>340</v>
      </c>
      <c r="B88" s="10" t="s">
        <v>341</v>
      </c>
      <c r="C88" s="11" t="s">
        <v>62</v>
      </c>
      <c r="D88" s="12" t="s">
        <v>63</v>
      </c>
      <c r="E88" s="12" t="s">
        <v>64</v>
      </c>
      <c r="F88" s="12" t="s">
        <v>52</v>
      </c>
      <c r="G88" s="12" t="s">
        <v>25</v>
      </c>
      <c r="H88" s="12" t="s">
        <v>38</v>
      </c>
      <c r="I88" s="13" t="s">
        <v>75</v>
      </c>
      <c r="J88" s="12" t="s">
        <v>28</v>
      </c>
      <c r="K88" s="11" t="s">
        <v>29</v>
      </c>
      <c r="L88" s="11" t="s">
        <v>30</v>
      </c>
      <c r="M88" s="12"/>
      <c r="N88" s="12"/>
      <c r="O88" s="12"/>
      <c r="P88" s="14" t="n">
        <v>18</v>
      </c>
      <c r="Q88" s="15" t="s">
        <v>31</v>
      </c>
      <c r="R88" s="16"/>
    </row>
    <row r="89" customFormat="false" ht="15" hidden="false" customHeight="true" outlineLevel="0" collapsed="false">
      <c r="A89" s="3" t="s">
        <v>342</v>
      </c>
      <c r="B89" s="3" t="s">
        <v>343</v>
      </c>
      <c r="C89" s="4" t="s">
        <v>78</v>
      </c>
      <c r="D89" s="5" t="s">
        <v>79</v>
      </c>
      <c r="E89" s="5" t="s">
        <v>80</v>
      </c>
      <c r="F89" s="5" t="s">
        <v>81</v>
      </c>
      <c r="G89" s="5" t="s">
        <v>25</v>
      </c>
      <c r="H89" s="5" t="s">
        <v>26</v>
      </c>
      <c r="I89" s="6" t="s">
        <v>97</v>
      </c>
      <c r="J89" s="5" t="s">
        <v>28</v>
      </c>
      <c r="K89" s="4" t="s">
        <v>29</v>
      </c>
      <c r="L89" s="4" t="s">
        <v>30</v>
      </c>
      <c r="M89" s="5"/>
      <c r="N89" s="5"/>
      <c r="O89" s="5"/>
      <c r="P89" s="7" t="n">
        <v>10</v>
      </c>
      <c r="Q89" s="8" t="s">
        <v>31</v>
      </c>
      <c r="R89" s="9"/>
    </row>
    <row r="90" customFormat="false" ht="15" hidden="false" customHeight="true" outlineLevel="0" collapsed="false">
      <c r="A90" s="17" t="s">
        <v>344</v>
      </c>
      <c r="B90" s="17" t="s">
        <v>345</v>
      </c>
      <c r="C90" s="18" t="s">
        <v>78</v>
      </c>
      <c r="D90" s="19" t="s">
        <v>79</v>
      </c>
      <c r="E90" s="19" t="s">
        <v>80</v>
      </c>
      <c r="F90" s="19" t="s">
        <v>81</v>
      </c>
      <c r="G90" s="19" t="s">
        <v>25</v>
      </c>
      <c r="H90" s="19" t="s">
        <v>96</v>
      </c>
      <c r="I90" s="20" t="s">
        <v>115</v>
      </c>
      <c r="J90" s="19" t="s">
        <v>116</v>
      </c>
      <c r="K90" s="18" t="s">
        <v>46</v>
      </c>
      <c r="L90" s="18" t="s">
        <v>30</v>
      </c>
      <c r="M90" s="19"/>
      <c r="N90" s="19"/>
      <c r="O90" s="21" t="s">
        <v>117</v>
      </c>
      <c r="P90" s="22" t="n">
        <v>80</v>
      </c>
      <c r="Q90" s="23" t="s">
        <v>58</v>
      </c>
      <c r="R90" s="24" t="s">
        <v>346</v>
      </c>
    </row>
    <row r="91" customFormat="false" ht="15" hidden="false" customHeight="true" outlineLevel="0" collapsed="false">
      <c r="A91" s="3" t="s">
        <v>347</v>
      </c>
      <c r="B91" s="3" t="s">
        <v>348</v>
      </c>
      <c r="C91" s="4" t="s">
        <v>195</v>
      </c>
      <c r="D91" s="5" t="s">
        <v>196</v>
      </c>
      <c r="E91" s="5" t="s">
        <v>92</v>
      </c>
      <c r="F91" s="5" t="s">
        <v>81</v>
      </c>
      <c r="G91" s="5" t="s">
        <v>25</v>
      </c>
      <c r="H91" s="5" t="s">
        <v>105</v>
      </c>
      <c r="I91" s="6" t="s">
        <v>349</v>
      </c>
      <c r="J91" s="5" t="s">
        <v>198</v>
      </c>
      <c r="K91" s="4" t="s">
        <v>46</v>
      </c>
      <c r="L91" s="4" t="s">
        <v>30</v>
      </c>
      <c r="M91" s="5"/>
      <c r="N91" s="5"/>
      <c r="O91" s="5"/>
      <c r="P91" s="7" t="n">
        <v>12</v>
      </c>
      <c r="Q91" s="8" t="s">
        <v>31</v>
      </c>
      <c r="R91" s="9"/>
    </row>
    <row r="92" customFormat="false" ht="15" hidden="false" customHeight="true" outlineLevel="0" collapsed="false">
      <c r="A92" s="26" t="s">
        <v>350</v>
      </c>
      <c r="B92" s="26" t="s">
        <v>351</v>
      </c>
      <c r="C92" s="27" t="s">
        <v>42</v>
      </c>
      <c r="D92" s="28" t="s">
        <v>43</v>
      </c>
      <c r="E92" s="28" t="s">
        <v>44</v>
      </c>
      <c r="F92" s="28" t="s">
        <v>24</v>
      </c>
      <c r="G92" s="28" t="s">
        <v>53</v>
      </c>
      <c r="H92" s="28" t="s">
        <v>54</v>
      </c>
      <c r="I92" s="29" t="s">
        <v>75</v>
      </c>
      <c r="J92" s="28" t="s">
        <v>28</v>
      </c>
      <c r="K92" s="27" t="s">
        <v>352</v>
      </c>
      <c r="L92" s="27" t="s">
        <v>112</v>
      </c>
      <c r="M92" s="28"/>
      <c r="N92" s="28" t="s">
        <v>353</v>
      </c>
      <c r="O92" s="30" t="s">
        <v>354</v>
      </c>
      <c r="P92" s="31" t="n">
        <v>88</v>
      </c>
      <c r="Q92" s="31" t="s">
        <v>155</v>
      </c>
      <c r="R92" s="32" t="s">
        <v>355</v>
      </c>
    </row>
    <row r="93" customFormat="false" ht="15" hidden="false" customHeight="true" outlineLevel="0" collapsed="false">
      <c r="A93" s="3" t="s">
        <v>356</v>
      </c>
      <c r="B93" s="3" t="s">
        <v>357</v>
      </c>
      <c r="C93" s="4" t="s">
        <v>187</v>
      </c>
      <c r="D93" s="5" t="s">
        <v>188</v>
      </c>
      <c r="E93" s="5" t="s">
        <v>44</v>
      </c>
      <c r="F93" s="5" t="s">
        <v>24</v>
      </c>
      <c r="G93" s="5" t="s">
        <v>25</v>
      </c>
      <c r="H93" s="5" t="s">
        <v>26</v>
      </c>
      <c r="I93" s="6" t="s">
        <v>93</v>
      </c>
      <c r="J93" s="5" t="s">
        <v>28</v>
      </c>
      <c r="K93" s="4" t="s">
        <v>46</v>
      </c>
      <c r="L93" s="4" t="s">
        <v>30</v>
      </c>
      <c r="M93" s="5"/>
      <c r="N93" s="5"/>
      <c r="O93" s="5"/>
      <c r="P93" s="7" t="n">
        <v>14</v>
      </c>
      <c r="Q93" s="8" t="s">
        <v>31</v>
      </c>
      <c r="R93" s="9"/>
    </row>
    <row r="94" customFormat="false" ht="15" hidden="false" customHeight="true" outlineLevel="0" collapsed="false">
      <c r="A94" s="17" t="s">
        <v>358</v>
      </c>
      <c r="B94" s="17" t="s">
        <v>359</v>
      </c>
      <c r="C94" s="18" t="s">
        <v>159</v>
      </c>
      <c r="D94" s="19" t="s">
        <v>160</v>
      </c>
      <c r="E94" s="19" t="s">
        <v>110</v>
      </c>
      <c r="F94" s="19" t="s">
        <v>37</v>
      </c>
      <c r="G94" s="19" t="s">
        <v>65</v>
      </c>
      <c r="H94" s="19" t="s">
        <v>26</v>
      </c>
      <c r="I94" s="20" t="s">
        <v>163</v>
      </c>
      <c r="J94" s="19" t="s">
        <v>28</v>
      </c>
      <c r="K94" s="18" t="s">
        <v>29</v>
      </c>
      <c r="L94" s="18" t="s">
        <v>66</v>
      </c>
      <c r="M94" s="19" t="s">
        <v>67</v>
      </c>
      <c r="N94" s="19"/>
      <c r="O94" s="21" t="s">
        <v>65</v>
      </c>
      <c r="P94" s="25" t="n">
        <v>55</v>
      </c>
      <c r="Q94" s="23" t="s">
        <v>58</v>
      </c>
      <c r="R94" s="24" t="s">
        <v>68</v>
      </c>
    </row>
    <row r="95" customFormat="false" ht="15" hidden="false" customHeight="true" outlineLevel="0" collapsed="false">
      <c r="A95" s="3" t="s">
        <v>360</v>
      </c>
      <c r="B95" s="3" t="s">
        <v>361</v>
      </c>
      <c r="C95" s="4" t="s">
        <v>78</v>
      </c>
      <c r="D95" s="5" t="s">
        <v>79</v>
      </c>
      <c r="E95" s="5" t="s">
        <v>80</v>
      </c>
      <c r="F95" s="5" t="s">
        <v>81</v>
      </c>
      <c r="G95" s="5" t="s">
        <v>25</v>
      </c>
      <c r="H95" s="5" t="s">
        <v>26</v>
      </c>
      <c r="I95" s="6" t="s">
        <v>362</v>
      </c>
      <c r="J95" s="5" t="s">
        <v>28</v>
      </c>
      <c r="K95" s="4" t="s">
        <v>29</v>
      </c>
      <c r="L95" s="4" t="s">
        <v>30</v>
      </c>
      <c r="M95" s="5"/>
      <c r="N95" s="5"/>
      <c r="O95" s="5"/>
      <c r="P95" s="7" t="n">
        <v>10</v>
      </c>
      <c r="Q95" s="8" t="s">
        <v>31</v>
      </c>
      <c r="R95" s="9"/>
    </row>
    <row r="96" customFormat="false" ht="15" hidden="false" customHeight="true" outlineLevel="0" collapsed="false">
      <c r="A96" s="17" t="s">
        <v>363</v>
      </c>
      <c r="B96" s="17" t="s">
        <v>364</v>
      </c>
      <c r="C96" s="18" t="s">
        <v>78</v>
      </c>
      <c r="D96" s="19" t="s">
        <v>79</v>
      </c>
      <c r="E96" s="19" t="s">
        <v>80</v>
      </c>
      <c r="F96" s="19" t="s">
        <v>81</v>
      </c>
      <c r="G96" s="19" t="s">
        <v>25</v>
      </c>
      <c r="H96" s="19" t="s">
        <v>54</v>
      </c>
      <c r="I96" s="20" t="s">
        <v>182</v>
      </c>
      <c r="J96" s="19" t="s">
        <v>183</v>
      </c>
      <c r="K96" s="18" t="s">
        <v>29</v>
      </c>
      <c r="L96" s="18" t="s">
        <v>30</v>
      </c>
      <c r="M96" s="19"/>
      <c r="N96" s="19"/>
      <c r="O96" s="21" t="s">
        <v>117</v>
      </c>
      <c r="P96" s="22" t="n">
        <v>80</v>
      </c>
      <c r="Q96" s="23" t="s">
        <v>58</v>
      </c>
      <c r="R96" s="24" t="s">
        <v>365</v>
      </c>
    </row>
    <row r="97" customFormat="false" ht="15" hidden="false" customHeight="true" outlineLevel="0" collapsed="false">
      <c r="A97" s="17" t="s">
        <v>366</v>
      </c>
      <c r="B97" s="17" t="s">
        <v>367</v>
      </c>
      <c r="C97" s="18" t="s">
        <v>336</v>
      </c>
      <c r="D97" s="19" t="s">
        <v>337</v>
      </c>
      <c r="E97" s="19" t="s">
        <v>80</v>
      </c>
      <c r="F97" s="19" t="s">
        <v>81</v>
      </c>
      <c r="G97" s="19" t="s">
        <v>53</v>
      </c>
      <c r="H97" s="19" t="s">
        <v>96</v>
      </c>
      <c r="I97" s="20" t="s">
        <v>128</v>
      </c>
      <c r="J97" s="19" t="s">
        <v>28</v>
      </c>
      <c r="K97" s="18" t="s">
        <v>29</v>
      </c>
      <c r="L97" s="18" t="s">
        <v>30</v>
      </c>
      <c r="M97" s="19"/>
      <c r="N97" s="19" t="s">
        <v>368</v>
      </c>
      <c r="O97" s="21" t="s">
        <v>99</v>
      </c>
      <c r="P97" s="23" t="n">
        <v>70</v>
      </c>
      <c r="Q97" s="23" t="s">
        <v>58</v>
      </c>
      <c r="R97" s="24" t="s">
        <v>369</v>
      </c>
    </row>
    <row r="98" customFormat="false" ht="15" hidden="false" customHeight="true" outlineLevel="0" collapsed="false">
      <c r="A98" s="33" t="s">
        <v>370</v>
      </c>
      <c r="B98" s="33" t="s">
        <v>371</v>
      </c>
      <c r="C98" s="34" t="s">
        <v>214</v>
      </c>
      <c r="D98" s="35" t="s">
        <v>215</v>
      </c>
      <c r="E98" s="35" t="s">
        <v>216</v>
      </c>
      <c r="F98" s="35" t="s">
        <v>24</v>
      </c>
      <c r="G98" s="35" t="s">
        <v>25</v>
      </c>
      <c r="H98" s="35" t="s">
        <v>26</v>
      </c>
      <c r="I98" s="36" t="s">
        <v>27</v>
      </c>
      <c r="J98" s="35" t="s">
        <v>28</v>
      </c>
      <c r="K98" s="34" t="s">
        <v>111</v>
      </c>
      <c r="L98" s="34" t="s">
        <v>112</v>
      </c>
      <c r="M98" s="35"/>
      <c r="N98" s="35"/>
      <c r="O98" s="37" t="s">
        <v>170</v>
      </c>
      <c r="P98" s="38" t="n">
        <v>30</v>
      </c>
      <c r="Q98" s="39" t="s">
        <v>171</v>
      </c>
      <c r="R98" s="40" t="s">
        <v>172</v>
      </c>
    </row>
    <row r="99" customFormat="false" ht="15" hidden="false" customHeight="true" outlineLevel="0" collapsed="false">
      <c r="A99" s="26" t="s">
        <v>372</v>
      </c>
      <c r="B99" s="26" t="s">
        <v>373</v>
      </c>
      <c r="C99" s="27" t="s">
        <v>219</v>
      </c>
      <c r="D99" s="28" t="s">
        <v>220</v>
      </c>
      <c r="E99" s="28" t="s">
        <v>80</v>
      </c>
      <c r="F99" s="28" t="s">
        <v>81</v>
      </c>
      <c r="G99" s="28" t="s">
        <v>53</v>
      </c>
      <c r="H99" s="28" t="s">
        <v>96</v>
      </c>
      <c r="I99" s="29" t="s">
        <v>39</v>
      </c>
      <c r="J99" s="28" t="s">
        <v>28</v>
      </c>
      <c r="K99" s="27" t="s">
        <v>29</v>
      </c>
      <c r="L99" s="27" t="s">
        <v>30</v>
      </c>
      <c r="M99" s="28"/>
      <c r="N99" s="28" t="s">
        <v>374</v>
      </c>
      <c r="O99" s="30" t="s">
        <v>322</v>
      </c>
      <c r="P99" s="31" t="n">
        <v>95</v>
      </c>
      <c r="Q99" s="31" t="s">
        <v>155</v>
      </c>
      <c r="R99" s="32" t="s">
        <v>375</v>
      </c>
    </row>
    <row r="100" customFormat="false" ht="15" hidden="false" customHeight="true" outlineLevel="0" collapsed="false">
      <c r="A100" s="17" t="s">
        <v>376</v>
      </c>
      <c r="B100" s="17" t="s">
        <v>377</v>
      </c>
      <c r="C100" s="18" t="s">
        <v>108</v>
      </c>
      <c r="D100" s="19" t="s">
        <v>109</v>
      </c>
      <c r="E100" s="19" t="s">
        <v>110</v>
      </c>
      <c r="F100" s="19" t="s">
        <v>37</v>
      </c>
      <c r="G100" s="19" t="s">
        <v>281</v>
      </c>
      <c r="H100" s="19" t="s">
        <v>54</v>
      </c>
      <c r="I100" s="20" t="s">
        <v>378</v>
      </c>
      <c r="J100" s="19" t="s">
        <v>169</v>
      </c>
      <c r="K100" s="18" t="s">
        <v>282</v>
      </c>
      <c r="L100" s="18" t="s">
        <v>282</v>
      </c>
      <c r="M100" s="19" t="s">
        <v>283</v>
      </c>
      <c r="N100" s="19"/>
      <c r="O100" s="21" t="s">
        <v>284</v>
      </c>
      <c r="P100" s="23" t="n">
        <v>70</v>
      </c>
      <c r="Q100" s="23" t="s">
        <v>58</v>
      </c>
      <c r="R100" s="24" t="s">
        <v>379</v>
      </c>
    </row>
    <row r="101" customFormat="false" ht="15" hidden="false" customHeight="true" outlineLevel="0" collapsed="false">
      <c r="A101" s="17" t="s">
        <v>380</v>
      </c>
      <c r="B101" s="17" t="s">
        <v>381</v>
      </c>
      <c r="C101" s="18" t="s">
        <v>108</v>
      </c>
      <c r="D101" s="19" t="s">
        <v>109</v>
      </c>
      <c r="E101" s="19" t="s">
        <v>110</v>
      </c>
      <c r="F101" s="19" t="s">
        <v>37</v>
      </c>
      <c r="G101" s="19" t="s">
        <v>281</v>
      </c>
      <c r="H101" s="19" t="s">
        <v>54</v>
      </c>
      <c r="I101" s="20" t="s">
        <v>382</v>
      </c>
      <c r="J101" s="19" t="s">
        <v>169</v>
      </c>
      <c r="K101" s="18" t="s">
        <v>282</v>
      </c>
      <c r="L101" s="18" t="s">
        <v>282</v>
      </c>
      <c r="M101" s="19" t="s">
        <v>283</v>
      </c>
      <c r="N101" s="19"/>
      <c r="O101" s="21" t="s">
        <v>284</v>
      </c>
      <c r="P101" s="23" t="n">
        <v>70</v>
      </c>
      <c r="Q101" s="23" t="s">
        <v>58</v>
      </c>
      <c r="R101" s="24" t="s">
        <v>379</v>
      </c>
    </row>
    <row r="102" customFormat="false" ht="15" hidden="false" customHeight="true" outlineLevel="0" collapsed="false">
      <c r="A102" s="17" t="s">
        <v>383</v>
      </c>
      <c r="B102" s="17" t="s">
        <v>384</v>
      </c>
      <c r="C102" s="18" t="s">
        <v>108</v>
      </c>
      <c r="D102" s="19" t="s">
        <v>109</v>
      </c>
      <c r="E102" s="19" t="s">
        <v>110</v>
      </c>
      <c r="F102" s="19" t="s">
        <v>37</v>
      </c>
      <c r="G102" s="19" t="s">
        <v>281</v>
      </c>
      <c r="H102" s="19" t="s">
        <v>38</v>
      </c>
      <c r="I102" s="20" t="s">
        <v>385</v>
      </c>
      <c r="J102" s="19" t="s">
        <v>169</v>
      </c>
      <c r="K102" s="18" t="s">
        <v>282</v>
      </c>
      <c r="L102" s="18" t="s">
        <v>282</v>
      </c>
      <c r="M102" s="19" t="s">
        <v>283</v>
      </c>
      <c r="N102" s="19"/>
      <c r="O102" s="21" t="s">
        <v>284</v>
      </c>
      <c r="P102" s="23" t="n">
        <v>70</v>
      </c>
      <c r="Q102" s="23" t="s">
        <v>58</v>
      </c>
      <c r="R102" s="24" t="s">
        <v>379</v>
      </c>
    </row>
    <row r="103" customFormat="false" ht="15" hidden="false" customHeight="true" outlineLevel="0" collapsed="false">
      <c r="A103" s="17" t="s">
        <v>386</v>
      </c>
      <c r="B103" s="17" t="s">
        <v>387</v>
      </c>
      <c r="C103" s="18" t="s">
        <v>108</v>
      </c>
      <c r="D103" s="19" t="s">
        <v>109</v>
      </c>
      <c r="E103" s="19" t="s">
        <v>110</v>
      </c>
      <c r="F103" s="19" t="s">
        <v>37</v>
      </c>
      <c r="G103" s="19" t="s">
        <v>281</v>
      </c>
      <c r="H103" s="19" t="s">
        <v>54</v>
      </c>
      <c r="I103" s="20" t="s">
        <v>388</v>
      </c>
      <c r="J103" s="19" t="s">
        <v>169</v>
      </c>
      <c r="K103" s="18" t="s">
        <v>282</v>
      </c>
      <c r="L103" s="18" t="s">
        <v>282</v>
      </c>
      <c r="M103" s="19" t="s">
        <v>283</v>
      </c>
      <c r="N103" s="19"/>
      <c r="O103" s="21" t="s">
        <v>284</v>
      </c>
      <c r="P103" s="23" t="n">
        <v>70</v>
      </c>
      <c r="Q103" s="23" t="s">
        <v>58</v>
      </c>
      <c r="R103" s="24" t="s">
        <v>379</v>
      </c>
    </row>
    <row r="104" customFormat="false" ht="15" hidden="false" customHeight="true" outlineLevel="0" collapsed="false">
      <c r="A104" s="17" t="s">
        <v>389</v>
      </c>
      <c r="B104" s="17" t="s">
        <v>390</v>
      </c>
      <c r="C104" s="18" t="s">
        <v>108</v>
      </c>
      <c r="D104" s="19" t="s">
        <v>109</v>
      </c>
      <c r="E104" s="19" t="s">
        <v>110</v>
      </c>
      <c r="F104" s="19" t="s">
        <v>37</v>
      </c>
      <c r="G104" s="19" t="s">
        <v>281</v>
      </c>
      <c r="H104" s="19" t="s">
        <v>38</v>
      </c>
      <c r="I104" s="20" t="s">
        <v>382</v>
      </c>
      <c r="J104" s="19" t="s">
        <v>169</v>
      </c>
      <c r="K104" s="18" t="s">
        <v>282</v>
      </c>
      <c r="L104" s="18" t="s">
        <v>282</v>
      </c>
      <c r="M104" s="19" t="s">
        <v>283</v>
      </c>
      <c r="N104" s="19"/>
      <c r="O104" s="21" t="s">
        <v>284</v>
      </c>
      <c r="P104" s="23" t="n">
        <v>70</v>
      </c>
      <c r="Q104" s="23" t="s">
        <v>58</v>
      </c>
      <c r="R104" s="24" t="s">
        <v>379</v>
      </c>
    </row>
    <row r="105" customFormat="false" ht="15" hidden="false" customHeight="true" outlineLevel="0" collapsed="false">
      <c r="A105" s="17" t="s">
        <v>391</v>
      </c>
      <c r="B105" s="17" t="s">
        <v>392</v>
      </c>
      <c r="C105" s="18" t="s">
        <v>108</v>
      </c>
      <c r="D105" s="19" t="s">
        <v>109</v>
      </c>
      <c r="E105" s="19" t="s">
        <v>110</v>
      </c>
      <c r="F105" s="19" t="s">
        <v>37</v>
      </c>
      <c r="G105" s="19" t="s">
        <v>281</v>
      </c>
      <c r="H105" s="19" t="s">
        <v>26</v>
      </c>
      <c r="I105" s="20" t="s">
        <v>393</v>
      </c>
      <c r="J105" s="19" t="s">
        <v>169</v>
      </c>
      <c r="K105" s="18" t="s">
        <v>282</v>
      </c>
      <c r="L105" s="18" t="s">
        <v>282</v>
      </c>
      <c r="M105" s="19" t="s">
        <v>283</v>
      </c>
      <c r="N105" s="19"/>
      <c r="O105" s="21" t="s">
        <v>284</v>
      </c>
      <c r="P105" s="23" t="n">
        <v>70</v>
      </c>
      <c r="Q105" s="23" t="s">
        <v>58</v>
      </c>
      <c r="R105" s="24" t="s">
        <v>379</v>
      </c>
    </row>
    <row r="106" customFormat="false" ht="15" hidden="false" customHeight="true" outlineLevel="0" collapsed="false">
      <c r="A106" s="10" t="s">
        <v>394</v>
      </c>
      <c r="B106" s="10" t="s">
        <v>395</v>
      </c>
      <c r="C106" s="11" t="s">
        <v>49</v>
      </c>
      <c r="D106" s="12" t="s">
        <v>50</v>
      </c>
      <c r="E106" s="12" t="s">
        <v>51</v>
      </c>
      <c r="F106" s="12" t="s">
        <v>52</v>
      </c>
      <c r="G106" s="12" t="s">
        <v>25</v>
      </c>
      <c r="H106" s="12" t="s">
        <v>105</v>
      </c>
      <c r="I106" s="13" t="s">
        <v>27</v>
      </c>
      <c r="J106" s="12" t="s">
        <v>28</v>
      </c>
      <c r="K106" s="11" t="s">
        <v>46</v>
      </c>
      <c r="L106" s="11" t="s">
        <v>30</v>
      </c>
      <c r="M106" s="12"/>
      <c r="N106" s="12"/>
      <c r="O106" s="12"/>
      <c r="P106" s="14" t="n">
        <v>9</v>
      </c>
      <c r="Q106" s="15" t="s">
        <v>31</v>
      </c>
      <c r="R106" s="16"/>
    </row>
    <row r="107" customFormat="false" ht="15" hidden="false" customHeight="true" outlineLevel="0" collapsed="false">
      <c r="A107" s="3" t="s">
        <v>396</v>
      </c>
      <c r="B107" s="3" t="s">
        <v>397</v>
      </c>
      <c r="C107" s="4" t="s">
        <v>108</v>
      </c>
      <c r="D107" s="5" t="s">
        <v>109</v>
      </c>
      <c r="E107" s="5" t="s">
        <v>110</v>
      </c>
      <c r="F107" s="5" t="s">
        <v>37</v>
      </c>
      <c r="G107" s="5" t="s">
        <v>25</v>
      </c>
      <c r="H107" s="5" t="s">
        <v>26</v>
      </c>
      <c r="I107" s="6" t="s">
        <v>97</v>
      </c>
      <c r="J107" s="5" t="s">
        <v>28</v>
      </c>
      <c r="K107" s="4" t="s">
        <v>111</v>
      </c>
      <c r="L107" s="4" t="s">
        <v>112</v>
      </c>
      <c r="M107" s="5"/>
      <c r="N107" s="5"/>
      <c r="O107" s="5"/>
      <c r="P107" s="7" t="n">
        <v>10</v>
      </c>
      <c r="Q107" s="8" t="s">
        <v>31</v>
      </c>
      <c r="R107" s="9"/>
    </row>
    <row r="108" customFormat="false" ht="15" hidden="false" customHeight="true" outlineLevel="0" collapsed="false">
      <c r="A108" s="10" t="s">
        <v>398</v>
      </c>
      <c r="B108" s="10" t="s">
        <v>399</v>
      </c>
      <c r="C108" s="11" t="s">
        <v>195</v>
      </c>
      <c r="D108" s="12" t="s">
        <v>196</v>
      </c>
      <c r="E108" s="12" t="s">
        <v>92</v>
      </c>
      <c r="F108" s="12" t="s">
        <v>81</v>
      </c>
      <c r="G108" s="12" t="s">
        <v>25</v>
      </c>
      <c r="H108" s="12" t="s">
        <v>38</v>
      </c>
      <c r="I108" s="13" t="s">
        <v>400</v>
      </c>
      <c r="J108" s="12" t="s">
        <v>198</v>
      </c>
      <c r="K108" s="11" t="s">
        <v>29</v>
      </c>
      <c r="L108" s="11" t="s">
        <v>30</v>
      </c>
      <c r="M108" s="12"/>
      <c r="N108" s="12"/>
      <c r="O108" s="12"/>
      <c r="P108" s="14" t="n">
        <v>15</v>
      </c>
      <c r="Q108" s="15" t="s">
        <v>31</v>
      </c>
      <c r="R108" s="16"/>
    </row>
    <row r="109" customFormat="false" ht="15" hidden="false" customHeight="true" outlineLevel="0" collapsed="false">
      <c r="A109" s="17" t="s">
        <v>401</v>
      </c>
      <c r="B109" s="17" t="s">
        <v>402</v>
      </c>
      <c r="C109" s="18" t="s">
        <v>108</v>
      </c>
      <c r="D109" s="19" t="s">
        <v>109</v>
      </c>
      <c r="E109" s="19" t="s">
        <v>110</v>
      </c>
      <c r="F109" s="19" t="s">
        <v>37</v>
      </c>
      <c r="G109" s="19" t="s">
        <v>25</v>
      </c>
      <c r="H109" s="19" t="s">
        <v>54</v>
      </c>
      <c r="I109" s="20" t="s">
        <v>182</v>
      </c>
      <c r="J109" s="19" t="s">
        <v>183</v>
      </c>
      <c r="K109" s="18" t="s">
        <v>111</v>
      </c>
      <c r="L109" s="18" t="s">
        <v>112</v>
      </c>
      <c r="M109" s="19"/>
      <c r="N109" s="19"/>
      <c r="O109" s="21" t="s">
        <v>117</v>
      </c>
      <c r="P109" s="22" t="n">
        <v>80</v>
      </c>
      <c r="Q109" s="23" t="s">
        <v>58</v>
      </c>
      <c r="R109" s="24" t="s">
        <v>403</v>
      </c>
    </row>
    <row r="110" customFormat="false" ht="15" hidden="false" customHeight="true" outlineLevel="0" collapsed="false">
      <c r="A110" s="17" t="s">
        <v>404</v>
      </c>
      <c r="B110" s="17" t="s">
        <v>405</v>
      </c>
      <c r="C110" s="18" t="s">
        <v>159</v>
      </c>
      <c r="D110" s="19" t="s">
        <v>160</v>
      </c>
      <c r="E110" s="19" t="s">
        <v>110</v>
      </c>
      <c r="F110" s="19" t="s">
        <v>37</v>
      </c>
      <c r="G110" s="19" t="s">
        <v>65</v>
      </c>
      <c r="H110" s="19" t="s">
        <v>54</v>
      </c>
      <c r="I110" s="20" t="s">
        <v>82</v>
      </c>
      <c r="J110" s="19" t="s">
        <v>28</v>
      </c>
      <c r="K110" s="18" t="s">
        <v>29</v>
      </c>
      <c r="L110" s="18" t="s">
        <v>66</v>
      </c>
      <c r="M110" s="19" t="s">
        <v>67</v>
      </c>
      <c r="N110" s="19"/>
      <c r="O110" s="21" t="s">
        <v>65</v>
      </c>
      <c r="P110" s="25" t="n">
        <v>55</v>
      </c>
      <c r="Q110" s="23" t="s">
        <v>58</v>
      </c>
      <c r="R110" s="24" t="s">
        <v>68</v>
      </c>
    </row>
    <row r="111" customFormat="false" ht="15" hidden="false" customHeight="true" outlineLevel="0" collapsed="false">
      <c r="A111" s="3" t="s">
        <v>406</v>
      </c>
      <c r="B111" s="3" t="s">
        <v>407</v>
      </c>
      <c r="C111" s="4" t="s">
        <v>34</v>
      </c>
      <c r="D111" s="5" t="s">
        <v>35</v>
      </c>
      <c r="E111" s="5" t="s">
        <v>36</v>
      </c>
      <c r="F111" s="5" t="s">
        <v>37</v>
      </c>
      <c r="G111" s="5" t="s">
        <v>25</v>
      </c>
      <c r="H111" s="5" t="s">
        <v>26</v>
      </c>
      <c r="I111" s="6" t="s">
        <v>55</v>
      </c>
      <c r="J111" s="5" t="s">
        <v>28</v>
      </c>
      <c r="K111" s="4" t="s">
        <v>29</v>
      </c>
      <c r="L111" s="4" t="s">
        <v>30</v>
      </c>
      <c r="M111" s="5"/>
      <c r="N111" s="5"/>
      <c r="O111" s="5"/>
      <c r="P111" s="7" t="n">
        <v>12</v>
      </c>
      <c r="Q111" s="8" t="s">
        <v>31</v>
      </c>
      <c r="R111" s="9"/>
    </row>
    <row r="112" customFormat="false" ht="15" hidden="false" customHeight="true" outlineLevel="0" collapsed="false">
      <c r="A112" s="33" t="s">
        <v>408</v>
      </c>
      <c r="B112" s="33" t="s">
        <v>409</v>
      </c>
      <c r="C112" s="34" t="s">
        <v>108</v>
      </c>
      <c r="D112" s="35" t="s">
        <v>109</v>
      </c>
      <c r="E112" s="35" t="s">
        <v>110</v>
      </c>
      <c r="F112" s="35" t="s">
        <v>37</v>
      </c>
      <c r="G112" s="35" t="s">
        <v>25</v>
      </c>
      <c r="H112" s="35" t="s">
        <v>38</v>
      </c>
      <c r="I112" s="36" t="s">
        <v>168</v>
      </c>
      <c r="J112" s="35" t="s">
        <v>169</v>
      </c>
      <c r="K112" s="34" t="s">
        <v>111</v>
      </c>
      <c r="L112" s="34" t="s">
        <v>112</v>
      </c>
      <c r="M112" s="35"/>
      <c r="N112" s="35"/>
      <c r="O112" s="37" t="s">
        <v>170</v>
      </c>
      <c r="P112" s="38" t="n">
        <v>30</v>
      </c>
      <c r="Q112" s="39" t="s">
        <v>171</v>
      </c>
      <c r="R112" s="40" t="s">
        <v>172</v>
      </c>
    </row>
    <row r="113" customFormat="false" ht="15" hidden="false" customHeight="true" outlineLevel="0" collapsed="false">
      <c r="A113" s="3" t="s">
        <v>410</v>
      </c>
      <c r="B113" s="3" t="s">
        <v>411</v>
      </c>
      <c r="C113" s="4" t="s">
        <v>121</v>
      </c>
      <c r="D113" s="5" t="s">
        <v>122</v>
      </c>
      <c r="E113" s="5" t="s">
        <v>123</v>
      </c>
      <c r="F113" s="5" t="s">
        <v>24</v>
      </c>
      <c r="G113" s="5" t="s">
        <v>25</v>
      </c>
      <c r="H113" s="5" t="s">
        <v>105</v>
      </c>
      <c r="I113" s="6" t="s">
        <v>163</v>
      </c>
      <c r="J113" s="5" t="s">
        <v>28</v>
      </c>
      <c r="K113" s="4" t="s">
        <v>29</v>
      </c>
      <c r="L113" s="4" t="s">
        <v>30</v>
      </c>
      <c r="M113" s="5"/>
      <c r="N113" s="5"/>
      <c r="O113" s="5"/>
      <c r="P113" s="7" t="n">
        <v>14</v>
      </c>
      <c r="Q113" s="8" t="s">
        <v>31</v>
      </c>
      <c r="R113" s="9"/>
    </row>
    <row r="114" customFormat="false" ht="15" hidden="false" customHeight="true" outlineLevel="0" collapsed="false">
      <c r="A114" s="10" t="s">
        <v>412</v>
      </c>
      <c r="B114" s="10" t="s">
        <v>413</v>
      </c>
      <c r="C114" s="11" t="s">
        <v>78</v>
      </c>
      <c r="D114" s="12" t="s">
        <v>79</v>
      </c>
      <c r="E114" s="12" t="s">
        <v>80</v>
      </c>
      <c r="F114" s="12" t="s">
        <v>81</v>
      </c>
      <c r="G114" s="12" t="s">
        <v>25</v>
      </c>
      <c r="H114" s="12" t="s">
        <v>38</v>
      </c>
      <c r="I114" s="13" t="s">
        <v>45</v>
      </c>
      <c r="J114" s="12" t="s">
        <v>28</v>
      </c>
      <c r="K114" s="11" t="s">
        <v>46</v>
      </c>
      <c r="L114" s="11" t="s">
        <v>30</v>
      </c>
      <c r="M114" s="12"/>
      <c r="N114" s="12"/>
      <c r="O114" s="12"/>
      <c r="P114" s="14" t="n">
        <v>6</v>
      </c>
      <c r="Q114" s="15" t="s">
        <v>31</v>
      </c>
      <c r="R114" s="16"/>
    </row>
    <row r="115" customFormat="false" ht="15" hidden="false" customHeight="true" outlineLevel="0" collapsed="false">
      <c r="A115" s="3" t="s">
        <v>414</v>
      </c>
      <c r="B115" s="3" t="s">
        <v>415</v>
      </c>
      <c r="C115" s="4" t="s">
        <v>336</v>
      </c>
      <c r="D115" s="5" t="s">
        <v>337</v>
      </c>
      <c r="E115" s="5" t="s">
        <v>80</v>
      </c>
      <c r="F115" s="5" t="s">
        <v>81</v>
      </c>
      <c r="G115" s="5" t="s">
        <v>25</v>
      </c>
      <c r="H115" s="5" t="s">
        <v>38</v>
      </c>
      <c r="I115" s="6" t="s">
        <v>416</v>
      </c>
      <c r="J115" s="5" t="s">
        <v>339</v>
      </c>
      <c r="K115" s="4" t="s">
        <v>29</v>
      </c>
      <c r="L115" s="4" t="s">
        <v>30</v>
      </c>
      <c r="M115" s="5"/>
      <c r="N115" s="5"/>
      <c r="O115" s="5"/>
      <c r="P115" s="7" t="n">
        <v>12</v>
      </c>
      <c r="Q115" s="8" t="s">
        <v>31</v>
      </c>
      <c r="R115" s="9"/>
    </row>
    <row r="116" customFormat="false" ht="15" hidden="false" customHeight="true" outlineLevel="0" collapsed="false">
      <c r="A116" s="26" t="s">
        <v>417</v>
      </c>
      <c r="B116" s="26" t="s">
        <v>418</v>
      </c>
      <c r="C116" s="27" t="s">
        <v>42</v>
      </c>
      <c r="D116" s="28" t="s">
        <v>43</v>
      </c>
      <c r="E116" s="28" t="s">
        <v>44</v>
      </c>
      <c r="F116" s="28" t="s">
        <v>24</v>
      </c>
      <c r="G116" s="28" t="s">
        <v>65</v>
      </c>
      <c r="H116" s="28" t="s">
        <v>38</v>
      </c>
      <c r="I116" s="29" t="s">
        <v>39</v>
      </c>
      <c r="J116" s="28" t="s">
        <v>28</v>
      </c>
      <c r="K116" s="27" t="s">
        <v>352</v>
      </c>
      <c r="L116" s="27" t="s">
        <v>66</v>
      </c>
      <c r="M116" s="28" t="s">
        <v>419</v>
      </c>
      <c r="N116" s="28"/>
      <c r="O116" s="30" t="s">
        <v>420</v>
      </c>
      <c r="P116" s="31" t="n">
        <v>85</v>
      </c>
      <c r="Q116" s="31" t="s">
        <v>155</v>
      </c>
      <c r="R116" s="32" t="s">
        <v>421</v>
      </c>
    </row>
    <row r="117" customFormat="false" ht="15" hidden="false" customHeight="true" outlineLevel="0" collapsed="false">
      <c r="A117" s="33" t="s">
        <v>422</v>
      </c>
      <c r="B117" s="33" t="s">
        <v>423</v>
      </c>
      <c r="C117" s="34" t="s">
        <v>34</v>
      </c>
      <c r="D117" s="35" t="s">
        <v>35</v>
      </c>
      <c r="E117" s="35" t="s">
        <v>36</v>
      </c>
      <c r="F117" s="35" t="s">
        <v>37</v>
      </c>
      <c r="G117" s="35" t="s">
        <v>281</v>
      </c>
      <c r="H117" s="35" t="s">
        <v>38</v>
      </c>
      <c r="I117" s="36" t="s">
        <v>128</v>
      </c>
      <c r="J117" s="35" t="s">
        <v>28</v>
      </c>
      <c r="K117" s="34" t="s">
        <v>282</v>
      </c>
      <c r="L117" s="34" t="s">
        <v>282</v>
      </c>
      <c r="M117" s="35" t="s">
        <v>283</v>
      </c>
      <c r="N117" s="35"/>
      <c r="O117" s="37" t="s">
        <v>424</v>
      </c>
      <c r="P117" s="39" t="n">
        <v>45</v>
      </c>
      <c r="Q117" s="39" t="s">
        <v>171</v>
      </c>
      <c r="R117" s="40" t="s">
        <v>425</v>
      </c>
    </row>
    <row r="118" customFormat="false" ht="15" hidden="false" customHeight="true" outlineLevel="0" collapsed="false">
      <c r="A118" s="33" t="s">
        <v>426</v>
      </c>
      <c r="B118" s="33" t="s">
        <v>427</v>
      </c>
      <c r="C118" s="34" t="s">
        <v>34</v>
      </c>
      <c r="D118" s="35" t="s">
        <v>35</v>
      </c>
      <c r="E118" s="35" t="s">
        <v>36</v>
      </c>
      <c r="F118" s="35" t="s">
        <v>37</v>
      </c>
      <c r="G118" s="35" t="s">
        <v>281</v>
      </c>
      <c r="H118" s="35" t="s">
        <v>54</v>
      </c>
      <c r="I118" s="36" t="s">
        <v>75</v>
      </c>
      <c r="J118" s="35" t="s">
        <v>28</v>
      </c>
      <c r="K118" s="34" t="s">
        <v>282</v>
      </c>
      <c r="L118" s="34" t="s">
        <v>282</v>
      </c>
      <c r="M118" s="35" t="s">
        <v>283</v>
      </c>
      <c r="N118" s="35"/>
      <c r="O118" s="37" t="s">
        <v>424</v>
      </c>
      <c r="P118" s="39" t="n">
        <v>45</v>
      </c>
      <c r="Q118" s="39" t="s">
        <v>171</v>
      </c>
      <c r="R118" s="40" t="s">
        <v>425</v>
      </c>
    </row>
    <row r="119" customFormat="false" ht="15" hidden="false" customHeight="true" outlineLevel="0" collapsed="false">
      <c r="A119" s="33" t="s">
        <v>428</v>
      </c>
      <c r="B119" s="33" t="s">
        <v>429</v>
      </c>
      <c r="C119" s="34" t="s">
        <v>34</v>
      </c>
      <c r="D119" s="35" t="s">
        <v>35</v>
      </c>
      <c r="E119" s="35" t="s">
        <v>36</v>
      </c>
      <c r="F119" s="35" t="s">
        <v>37</v>
      </c>
      <c r="G119" s="35" t="s">
        <v>281</v>
      </c>
      <c r="H119" s="35" t="s">
        <v>26</v>
      </c>
      <c r="I119" s="36" t="s">
        <v>82</v>
      </c>
      <c r="J119" s="35" t="s">
        <v>28</v>
      </c>
      <c r="K119" s="34" t="s">
        <v>282</v>
      </c>
      <c r="L119" s="34" t="s">
        <v>282</v>
      </c>
      <c r="M119" s="35" t="s">
        <v>283</v>
      </c>
      <c r="N119" s="35"/>
      <c r="O119" s="37" t="s">
        <v>424</v>
      </c>
      <c r="P119" s="39" t="n">
        <v>45</v>
      </c>
      <c r="Q119" s="39" t="s">
        <v>171</v>
      </c>
      <c r="R119" s="40" t="s">
        <v>425</v>
      </c>
    </row>
    <row r="120" customFormat="false" ht="15" hidden="false" customHeight="true" outlineLevel="0" collapsed="false">
      <c r="A120" s="26" t="s">
        <v>430</v>
      </c>
      <c r="B120" s="26" t="s">
        <v>431</v>
      </c>
      <c r="C120" s="27" t="s">
        <v>187</v>
      </c>
      <c r="D120" s="28" t="s">
        <v>188</v>
      </c>
      <c r="E120" s="28" t="s">
        <v>44</v>
      </c>
      <c r="F120" s="28" t="s">
        <v>24</v>
      </c>
      <c r="G120" s="28" t="s">
        <v>65</v>
      </c>
      <c r="H120" s="28" t="s">
        <v>38</v>
      </c>
      <c r="I120" s="29" t="s">
        <v>75</v>
      </c>
      <c r="J120" s="28" t="s">
        <v>28</v>
      </c>
      <c r="K120" s="27" t="s">
        <v>352</v>
      </c>
      <c r="L120" s="27" t="s">
        <v>66</v>
      </c>
      <c r="M120" s="28" t="s">
        <v>419</v>
      </c>
      <c r="N120" s="28"/>
      <c r="O120" s="30" t="s">
        <v>420</v>
      </c>
      <c r="P120" s="31" t="n">
        <v>85</v>
      </c>
      <c r="Q120" s="31" t="s">
        <v>155</v>
      </c>
      <c r="R120" s="32" t="s">
        <v>421</v>
      </c>
    </row>
    <row r="121" customFormat="false" ht="15" hidden="false" customHeight="true" outlineLevel="0" collapsed="false">
      <c r="A121" s="33" t="s">
        <v>432</v>
      </c>
      <c r="B121" s="33" t="s">
        <v>433</v>
      </c>
      <c r="C121" s="34" t="s">
        <v>108</v>
      </c>
      <c r="D121" s="35" t="s">
        <v>109</v>
      </c>
      <c r="E121" s="35" t="s">
        <v>110</v>
      </c>
      <c r="F121" s="35" t="s">
        <v>37</v>
      </c>
      <c r="G121" s="35" t="s">
        <v>25</v>
      </c>
      <c r="H121" s="35" t="s">
        <v>38</v>
      </c>
      <c r="I121" s="36" t="s">
        <v>434</v>
      </c>
      <c r="J121" s="35" t="s">
        <v>169</v>
      </c>
      <c r="K121" s="34" t="s">
        <v>111</v>
      </c>
      <c r="L121" s="34" t="s">
        <v>112</v>
      </c>
      <c r="M121" s="35"/>
      <c r="N121" s="35"/>
      <c r="O121" s="37" t="s">
        <v>170</v>
      </c>
      <c r="P121" s="38" t="n">
        <v>30</v>
      </c>
      <c r="Q121" s="39" t="s">
        <v>171</v>
      </c>
      <c r="R121" s="40" t="s">
        <v>172</v>
      </c>
    </row>
    <row r="122" customFormat="false" ht="15" hidden="false" customHeight="true" outlineLevel="0" collapsed="false">
      <c r="A122" s="17" t="s">
        <v>435</v>
      </c>
      <c r="B122" s="17" t="s">
        <v>436</v>
      </c>
      <c r="C122" s="18" t="s">
        <v>90</v>
      </c>
      <c r="D122" s="19" t="s">
        <v>91</v>
      </c>
      <c r="E122" s="19" t="s">
        <v>92</v>
      </c>
      <c r="F122" s="19" t="s">
        <v>81</v>
      </c>
      <c r="G122" s="19" t="s">
        <v>437</v>
      </c>
      <c r="H122" s="19" t="s">
        <v>96</v>
      </c>
      <c r="I122" s="20" t="s">
        <v>128</v>
      </c>
      <c r="J122" s="19" t="s">
        <v>28</v>
      </c>
      <c r="K122" s="18" t="s">
        <v>29</v>
      </c>
      <c r="L122" s="18" t="s">
        <v>30</v>
      </c>
      <c r="M122" s="19" t="s">
        <v>438</v>
      </c>
      <c r="N122" s="19" t="s">
        <v>439</v>
      </c>
      <c r="O122" s="21" t="s">
        <v>99</v>
      </c>
      <c r="P122" s="23" t="n">
        <v>70</v>
      </c>
      <c r="Q122" s="23" t="s">
        <v>58</v>
      </c>
      <c r="R122" s="24" t="s">
        <v>440</v>
      </c>
    </row>
    <row r="123" customFormat="false" ht="15" hidden="false" customHeight="true" outlineLevel="0" collapsed="false">
      <c r="A123" s="3" t="s">
        <v>441</v>
      </c>
      <c r="B123" s="3" t="s">
        <v>442</v>
      </c>
      <c r="C123" s="4" t="s">
        <v>219</v>
      </c>
      <c r="D123" s="5" t="s">
        <v>220</v>
      </c>
      <c r="E123" s="5" t="s">
        <v>80</v>
      </c>
      <c r="F123" s="5" t="s">
        <v>81</v>
      </c>
      <c r="G123" s="5" t="s">
        <v>25</v>
      </c>
      <c r="H123" s="5" t="s">
        <v>26</v>
      </c>
      <c r="I123" s="6" t="s">
        <v>131</v>
      </c>
      <c r="J123" s="5" t="s">
        <v>28</v>
      </c>
      <c r="K123" s="4" t="s">
        <v>29</v>
      </c>
      <c r="L123" s="4" t="s">
        <v>30</v>
      </c>
      <c r="M123" s="5"/>
      <c r="N123" s="5"/>
      <c r="O123" s="5"/>
      <c r="P123" s="7" t="n">
        <v>10</v>
      </c>
      <c r="Q123" s="8" t="s">
        <v>31</v>
      </c>
      <c r="R123" s="9"/>
    </row>
    <row r="124" customFormat="false" ht="15" hidden="false" customHeight="true" outlineLevel="0" collapsed="false">
      <c r="A124" s="10" t="s">
        <v>443</v>
      </c>
      <c r="B124" s="10" t="s">
        <v>444</v>
      </c>
      <c r="C124" s="11" t="s">
        <v>143</v>
      </c>
      <c r="D124" s="12" t="s">
        <v>144</v>
      </c>
      <c r="E124" s="12" t="s">
        <v>145</v>
      </c>
      <c r="F124" s="12" t="s">
        <v>81</v>
      </c>
      <c r="G124" s="12" t="s">
        <v>25</v>
      </c>
      <c r="H124" s="12" t="s">
        <v>26</v>
      </c>
      <c r="I124" s="13" t="s">
        <v>163</v>
      </c>
      <c r="J124" s="12" t="s">
        <v>28</v>
      </c>
      <c r="K124" s="11" t="s">
        <v>46</v>
      </c>
      <c r="L124" s="11" t="s">
        <v>30</v>
      </c>
      <c r="M124" s="12"/>
      <c r="N124" s="12"/>
      <c r="O124" s="12"/>
      <c r="P124" s="14" t="n">
        <v>12</v>
      </c>
      <c r="Q124" s="15" t="s">
        <v>31</v>
      </c>
      <c r="R124" s="16"/>
    </row>
    <row r="125" customFormat="false" ht="15" hidden="false" customHeight="true" outlineLevel="0" collapsed="false">
      <c r="A125" s="26" t="s">
        <v>445</v>
      </c>
      <c r="B125" s="26" t="s">
        <v>446</v>
      </c>
      <c r="C125" s="27" t="s">
        <v>219</v>
      </c>
      <c r="D125" s="28" t="s">
        <v>220</v>
      </c>
      <c r="E125" s="28" t="s">
        <v>80</v>
      </c>
      <c r="F125" s="28" t="s">
        <v>81</v>
      </c>
      <c r="G125" s="28" t="s">
        <v>153</v>
      </c>
      <c r="H125" s="28" t="s">
        <v>54</v>
      </c>
      <c r="I125" s="29" t="s">
        <v>447</v>
      </c>
      <c r="J125" s="28" t="s">
        <v>448</v>
      </c>
      <c r="K125" s="27" t="s">
        <v>29</v>
      </c>
      <c r="L125" s="27" t="s">
        <v>30</v>
      </c>
      <c r="M125" s="28"/>
      <c r="N125" s="28"/>
      <c r="O125" s="30" t="s">
        <v>154</v>
      </c>
      <c r="P125" s="31" t="n">
        <v>95</v>
      </c>
      <c r="Q125" s="31" t="s">
        <v>155</v>
      </c>
      <c r="R125" s="32" t="s">
        <v>449</v>
      </c>
    </row>
    <row r="126" customFormat="false" ht="15" hidden="false" customHeight="true" outlineLevel="0" collapsed="false">
      <c r="A126" s="10" t="s">
        <v>450</v>
      </c>
      <c r="B126" s="10" t="s">
        <v>451</v>
      </c>
      <c r="C126" s="11" t="s">
        <v>90</v>
      </c>
      <c r="D126" s="12" t="s">
        <v>91</v>
      </c>
      <c r="E126" s="12" t="s">
        <v>92</v>
      </c>
      <c r="F126" s="12" t="s">
        <v>81</v>
      </c>
      <c r="G126" s="12" t="s">
        <v>25</v>
      </c>
      <c r="H126" s="12" t="s">
        <v>105</v>
      </c>
      <c r="I126" s="13" t="s">
        <v>39</v>
      </c>
      <c r="J126" s="12" t="s">
        <v>28</v>
      </c>
      <c r="K126" s="11" t="s">
        <v>46</v>
      </c>
      <c r="L126" s="11" t="s">
        <v>30</v>
      </c>
      <c r="M126" s="12"/>
      <c r="N126" s="12"/>
      <c r="O126" s="12"/>
      <c r="P126" s="14" t="n">
        <v>13</v>
      </c>
      <c r="Q126" s="15" t="s">
        <v>31</v>
      </c>
      <c r="R126" s="16"/>
    </row>
    <row r="127" customFormat="false" ht="15" hidden="false" customHeight="true" outlineLevel="0" collapsed="false">
      <c r="A127" s="33" t="s">
        <v>452</v>
      </c>
      <c r="B127" s="33" t="s">
        <v>453</v>
      </c>
      <c r="C127" s="34" t="s">
        <v>143</v>
      </c>
      <c r="D127" s="35" t="s">
        <v>144</v>
      </c>
      <c r="E127" s="35" t="s">
        <v>145</v>
      </c>
      <c r="F127" s="35" t="s">
        <v>81</v>
      </c>
      <c r="G127" s="35" t="s">
        <v>281</v>
      </c>
      <c r="H127" s="35" t="s">
        <v>38</v>
      </c>
      <c r="I127" s="36" t="s">
        <v>39</v>
      </c>
      <c r="J127" s="35" t="s">
        <v>28</v>
      </c>
      <c r="K127" s="34" t="s">
        <v>282</v>
      </c>
      <c r="L127" s="34" t="s">
        <v>282</v>
      </c>
      <c r="M127" s="35" t="s">
        <v>283</v>
      </c>
      <c r="N127" s="35"/>
      <c r="O127" s="37" t="s">
        <v>424</v>
      </c>
      <c r="P127" s="39" t="n">
        <v>45</v>
      </c>
      <c r="Q127" s="39" t="s">
        <v>171</v>
      </c>
      <c r="R127" s="40" t="s">
        <v>425</v>
      </c>
    </row>
    <row r="128" customFormat="false" ht="15" hidden="false" customHeight="true" outlineLevel="0" collapsed="false">
      <c r="A128" s="33" t="s">
        <v>454</v>
      </c>
      <c r="B128" s="33" t="s">
        <v>455</v>
      </c>
      <c r="C128" s="34" t="s">
        <v>143</v>
      </c>
      <c r="D128" s="35" t="s">
        <v>144</v>
      </c>
      <c r="E128" s="35" t="s">
        <v>145</v>
      </c>
      <c r="F128" s="35" t="s">
        <v>81</v>
      </c>
      <c r="G128" s="35" t="s">
        <v>281</v>
      </c>
      <c r="H128" s="35" t="s">
        <v>26</v>
      </c>
      <c r="I128" s="36" t="s">
        <v>93</v>
      </c>
      <c r="J128" s="35" t="s">
        <v>28</v>
      </c>
      <c r="K128" s="34" t="s">
        <v>282</v>
      </c>
      <c r="L128" s="34" t="s">
        <v>282</v>
      </c>
      <c r="M128" s="35" t="s">
        <v>283</v>
      </c>
      <c r="N128" s="35"/>
      <c r="O128" s="37" t="s">
        <v>424</v>
      </c>
      <c r="P128" s="39" t="n">
        <v>45</v>
      </c>
      <c r="Q128" s="39" t="s">
        <v>171</v>
      </c>
      <c r="R128" s="40" t="s">
        <v>425</v>
      </c>
    </row>
    <row r="129" customFormat="false" ht="15" hidden="false" customHeight="true" outlineLevel="0" collapsed="false">
      <c r="A129" s="33" t="s">
        <v>456</v>
      </c>
      <c r="B129" s="33" t="s">
        <v>457</v>
      </c>
      <c r="C129" s="34" t="s">
        <v>143</v>
      </c>
      <c r="D129" s="35" t="s">
        <v>144</v>
      </c>
      <c r="E129" s="35" t="s">
        <v>145</v>
      </c>
      <c r="F129" s="35" t="s">
        <v>81</v>
      </c>
      <c r="G129" s="35" t="s">
        <v>281</v>
      </c>
      <c r="H129" s="35" t="s">
        <v>26</v>
      </c>
      <c r="I129" s="36" t="s">
        <v>163</v>
      </c>
      <c r="J129" s="35" t="s">
        <v>28</v>
      </c>
      <c r="K129" s="34" t="s">
        <v>282</v>
      </c>
      <c r="L129" s="34" t="s">
        <v>282</v>
      </c>
      <c r="M129" s="35" t="s">
        <v>283</v>
      </c>
      <c r="N129" s="35"/>
      <c r="O129" s="37" t="s">
        <v>424</v>
      </c>
      <c r="P129" s="39" t="n">
        <v>45</v>
      </c>
      <c r="Q129" s="39" t="s">
        <v>171</v>
      </c>
      <c r="R129" s="40" t="s">
        <v>425</v>
      </c>
    </row>
    <row r="130" customFormat="false" ht="15" hidden="false" customHeight="true" outlineLevel="0" collapsed="false">
      <c r="A130" s="33" t="s">
        <v>458</v>
      </c>
      <c r="B130" s="33" t="s">
        <v>459</v>
      </c>
      <c r="C130" s="34" t="s">
        <v>143</v>
      </c>
      <c r="D130" s="35" t="s">
        <v>144</v>
      </c>
      <c r="E130" s="35" t="s">
        <v>145</v>
      </c>
      <c r="F130" s="35" t="s">
        <v>81</v>
      </c>
      <c r="G130" s="35" t="s">
        <v>281</v>
      </c>
      <c r="H130" s="35" t="s">
        <v>26</v>
      </c>
      <c r="I130" s="36" t="s">
        <v>82</v>
      </c>
      <c r="J130" s="35" t="s">
        <v>28</v>
      </c>
      <c r="K130" s="34" t="s">
        <v>282</v>
      </c>
      <c r="L130" s="34" t="s">
        <v>282</v>
      </c>
      <c r="M130" s="35" t="s">
        <v>283</v>
      </c>
      <c r="N130" s="35"/>
      <c r="O130" s="37" t="s">
        <v>424</v>
      </c>
      <c r="P130" s="39" t="n">
        <v>45</v>
      </c>
      <c r="Q130" s="39" t="s">
        <v>171</v>
      </c>
      <c r="R130" s="40" t="s">
        <v>425</v>
      </c>
    </row>
    <row r="131" customFormat="false" ht="15" hidden="false" customHeight="true" outlineLevel="0" collapsed="false">
      <c r="A131" s="17" t="s">
        <v>460</v>
      </c>
      <c r="B131" s="17" t="s">
        <v>461</v>
      </c>
      <c r="C131" s="18" t="s">
        <v>21</v>
      </c>
      <c r="D131" s="19" t="s">
        <v>22</v>
      </c>
      <c r="E131" s="19" t="s">
        <v>23</v>
      </c>
      <c r="F131" s="19" t="s">
        <v>24</v>
      </c>
      <c r="G131" s="19" t="s">
        <v>65</v>
      </c>
      <c r="H131" s="19" t="s">
        <v>26</v>
      </c>
      <c r="I131" s="20" t="s">
        <v>45</v>
      </c>
      <c r="J131" s="19" t="s">
        <v>28</v>
      </c>
      <c r="K131" s="18" t="s">
        <v>29</v>
      </c>
      <c r="L131" s="18" t="s">
        <v>66</v>
      </c>
      <c r="M131" s="19" t="s">
        <v>462</v>
      </c>
      <c r="N131" s="19"/>
      <c r="O131" s="21" t="s">
        <v>65</v>
      </c>
      <c r="P131" s="25" t="n">
        <v>55</v>
      </c>
      <c r="Q131" s="23" t="s">
        <v>58</v>
      </c>
      <c r="R131" s="24" t="s">
        <v>68</v>
      </c>
    </row>
    <row r="132" customFormat="false" ht="15" hidden="false" customHeight="true" outlineLevel="0" collapsed="false">
      <c r="A132" s="10" t="s">
        <v>463</v>
      </c>
      <c r="B132" s="10" t="s">
        <v>464</v>
      </c>
      <c r="C132" s="11" t="s">
        <v>336</v>
      </c>
      <c r="D132" s="12" t="s">
        <v>337</v>
      </c>
      <c r="E132" s="12" t="s">
        <v>80</v>
      </c>
      <c r="F132" s="12" t="s">
        <v>81</v>
      </c>
      <c r="G132" s="12" t="s">
        <v>25</v>
      </c>
      <c r="H132" s="12" t="s">
        <v>26</v>
      </c>
      <c r="I132" s="13" t="s">
        <v>465</v>
      </c>
      <c r="J132" s="12" t="s">
        <v>339</v>
      </c>
      <c r="K132" s="11" t="s">
        <v>46</v>
      </c>
      <c r="L132" s="11" t="s">
        <v>30</v>
      </c>
      <c r="M132" s="12"/>
      <c r="N132" s="12"/>
      <c r="O132" s="12"/>
      <c r="P132" s="14" t="n">
        <v>7</v>
      </c>
      <c r="Q132" s="15" t="s">
        <v>31</v>
      </c>
      <c r="R132" s="16"/>
    </row>
    <row r="133" customFormat="false" ht="15" hidden="false" customHeight="true" outlineLevel="0" collapsed="false">
      <c r="A133" s="26" t="s">
        <v>466</v>
      </c>
      <c r="B133" s="26" t="s">
        <v>467</v>
      </c>
      <c r="C133" s="27" t="s">
        <v>42</v>
      </c>
      <c r="D133" s="28" t="s">
        <v>43</v>
      </c>
      <c r="E133" s="28" t="s">
        <v>44</v>
      </c>
      <c r="F133" s="28" t="s">
        <v>24</v>
      </c>
      <c r="G133" s="28" t="s">
        <v>65</v>
      </c>
      <c r="H133" s="28" t="s">
        <v>38</v>
      </c>
      <c r="I133" s="29" t="s">
        <v>93</v>
      </c>
      <c r="J133" s="28" t="s">
        <v>28</v>
      </c>
      <c r="K133" s="27" t="s">
        <v>352</v>
      </c>
      <c r="L133" s="27" t="s">
        <v>66</v>
      </c>
      <c r="M133" s="28" t="s">
        <v>419</v>
      </c>
      <c r="N133" s="28"/>
      <c r="O133" s="30" t="s">
        <v>420</v>
      </c>
      <c r="P133" s="31" t="n">
        <v>85</v>
      </c>
      <c r="Q133" s="31" t="s">
        <v>155</v>
      </c>
      <c r="R133" s="32" t="s">
        <v>421</v>
      </c>
    </row>
    <row r="134" customFormat="false" ht="15" hidden="false" customHeight="true" outlineLevel="0" collapsed="false">
      <c r="A134" s="10" t="s">
        <v>468</v>
      </c>
      <c r="B134" s="10" t="s">
        <v>469</v>
      </c>
      <c r="C134" s="11" t="s">
        <v>242</v>
      </c>
      <c r="D134" s="12" t="s">
        <v>243</v>
      </c>
      <c r="E134" s="12" t="s">
        <v>244</v>
      </c>
      <c r="F134" s="12" t="s">
        <v>81</v>
      </c>
      <c r="G134" s="12" t="s">
        <v>25</v>
      </c>
      <c r="H134" s="12" t="s">
        <v>105</v>
      </c>
      <c r="I134" s="13" t="s">
        <v>131</v>
      </c>
      <c r="J134" s="12" t="s">
        <v>28</v>
      </c>
      <c r="K134" s="11" t="s">
        <v>29</v>
      </c>
      <c r="L134" s="11" t="s">
        <v>30</v>
      </c>
      <c r="M134" s="12"/>
      <c r="N134" s="12"/>
      <c r="O134" s="12"/>
      <c r="P134" s="14" t="n">
        <v>11</v>
      </c>
      <c r="Q134" s="15" t="s">
        <v>31</v>
      </c>
      <c r="R134" s="16"/>
    </row>
    <row r="135" customFormat="false" ht="15" hidden="false" customHeight="true" outlineLevel="0" collapsed="false">
      <c r="A135" s="33" t="s">
        <v>470</v>
      </c>
      <c r="B135" s="33" t="s">
        <v>471</v>
      </c>
      <c r="C135" s="34" t="s">
        <v>159</v>
      </c>
      <c r="D135" s="35" t="s">
        <v>160</v>
      </c>
      <c r="E135" s="35" t="s">
        <v>110</v>
      </c>
      <c r="F135" s="35" t="s">
        <v>37</v>
      </c>
      <c r="G135" s="35" t="s">
        <v>281</v>
      </c>
      <c r="H135" s="35" t="s">
        <v>26</v>
      </c>
      <c r="I135" s="36" t="s">
        <v>39</v>
      </c>
      <c r="J135" s="35" t="s">
        <v>28</v>
      </c>
      <c r="K135" s="34" t="s">
        <v>282</v>
      </c>
      <c r="L135" s="34" t="s">
        <v>282</v>
      </c>
      <c r="M135" s="35" t="s">
        <v>283</v>
      </c>
      <c r="N135" s="35"/>
      <c r="O135" s="37" t="s">
        <v>424</v>
      </c>
      <c r="P135" s="39" t="n">
        <v>45</v>
      </c>
      <c r="Q135" s="39" t="s">
        <v>171</v>
      </c>
      <c r="R135" s="40" t="s">
        <v>425</v>
      </c>
    </row>
    <row r="136" customFormat="false" ht="15" hidden="false" customHeight="true" outlineLevel="0" collapsed="false">
      <c r="A136" s="33" t="s">
        <v>472</v>
      </c>
      <c r="B136" s="33" t="s">
        <v>473</v>
      </c>
      <c r="C136" s="34" t="s">
        <v>159</v>
      </c>
      <c r="D136" s="35" t="s">
        <v>160</v>
      </c>
      <c r="E136" s="35" t="s">
        <v>110</v>
      </c>
      <c r="F136" s="35" t="s">
        <v>37</v>
      </c>
      <c r="G136" s="35" t="s">
        <v>281</v>
      </c>
      <c r="H136" s="35" t="s">
        <v>38</v>
      </c>
      <c r="I136" s="36" t="s">
        <v>45</v>
      </c>
      <c r="J136" s="35" t="s">
        <v>28</v>
      </c>
      <c r="K136" s="34" t="s">
        <v>282</v>
      </c>
      <c r="L136" s="34" t="s">
        <v>282</v>
      </c>
      <c r="M136" s="35" t="s">
        <v>283</v>
      </c>
      <c r="N136" s="35"/>
      <c r="O136" s="37" t="s">
        <v>424</v>
      </c>
      <c r="P136" s="39" t="n">
        <v>45</v>
      </c>
      <c r="Q136" s="39" t="s">
        <v>171</v>
      </c>
      <c r="R136" s="40" t="s">
        <v>425</v>
      </c>
    </row>
    <row r="137" customFormat="false" ht="15" hidden="false" customHeight="true" outlineLevel="0" collapsed="false">
      <c r="A137" s="33" t="s">
        <v>474</v>
      </c>
      <c r="B137" s="33" t="s">
        <v>475</v>
      </c>
      <c r="C137" s="34" t="s">
        <v>159</v>
      </c>
      <c r="D137" s="35" t="s">
        <v>160</v>
      </c>
      <c r="E137" s="35" t="s">
        <v>110</v>
      </c>
      <c r="F137" s="35" t="s">
        <v>37</v>
      </c>
      <c r="G137" s="35" t="s">
        <v>281</v>
      </c>
      <c r="H137" s="35" t="s">
        <v>26</v>
      </c>
      <c r="I137" s="36" t="s">
        <v>55</v>
      </c>
      <c r="J137" s="35" t="s">
        <v>28</v>
      </c>
      <c r="K137" s="34" t="s">
        <v>282</v>
      </c>
      <c r="L137" s="34" t="s">
        <v>282</v>
      </c>
      <c r="M137" s="35" t="s">
        <v>283</v>
      </c>
      <c r="N137" s="35"/>
      <c r="O137" s="37" t="s">
        <v>424</v>
      </c>
      <c r="P137" s="39" t="n">
        <v>45</v>
      </c>
      <c r="Q137" s="39" t="s">
        <v>171</v>
      </c>
      <c r="R137" s="40" t="s">
        <v>425</v>
      </c>
    </row>
    <row r="138" customFormat="false" ht="15" hidden="false" customHeight="true" outlineLevel="0" collapsed="false">
      <c r="A138" s="33" t="s">
        <v>476</v>
      </c>
      <c r="B138" s="33" t="s">
        <v>477</v>
      </c>
      <c r="C138" s="34" t="s">
        <v>159</v>
      </c>
      <c r="D138" s="35" t="s">
        <v>160</v>
      </c>
      <c r="E138" s="35" t="s">
        <v>110</v>
      </c>
      <c r="F138" s="35" t="s">
        <v>37</v>
      </c>
      <c r="G138" s="35" t="s">
        <v>281</v>
      </c>
      <c r="H138" s="35" t="s">
        <v>38</v>
      </c>
      <c r="I138" s="36" t="s">
        <v>45</v>
      </c>
      <c r="J138" s="35" t="s">
        <v>28</v>
      </c>
      <c r="K138" s="34" t="s">
        <v>282</v>
      </c>
      <c r="L138" s="34" t="s">
        <v>282</v>
      </c>
      <c r="M138" s="35" t="s">
        <v>283</v>
      </c>
      <c r="N138" s="35"/>
      <c r="O138" s="37" t="s">
        <v>424</v>
      </c>
      <c r="P138" s="39" t="n">
        <v>45</v>
      </c>
      <c r="Q138" s="39" t="s">
        <v>171</v>
      </c>
      <c r="R138" s="40" t="s">
        <v>425</v>
      </c>
    </row>
    <row r="139" customFormat="false" ht="15" hidden="false" customHeight="true" outlineLevel="0" collapsed="false">
      <c r="A139" s="26" t="s">
        <v>478</v>
      </c>
      <c r="B139" s="26" t="s">
        <v>479</v>
      </c>
      <c r="C139" s="27" t="s">
        <v>187</v>
      </c>
      <c r="D139" s="28" t="s">
        <v>188</v>
      </c>
      <c r="E139" s="28" t="s">
        <v>44</v>
      </c>
      <c r="F139" s="28" t="s">
        <v>24</v>
      </c>
      <c r="G139" s="28" t="s">
        <v>53</v>
      </c>
      <c r="H139" s="28" t="s">
        <v>54</v>
      </c>
      <c r="I139" s="29" t="s">
        <v>163</v>
      </c>
      <c r="J139" s="28" t="s">
        <v>28</v>
      </c>
      <c r="K139" s="27" t="s">
        <v>352</v>
      </c>
      <c r="L139" s="27" t="s">
        <v>112</v>
      </c>
      <c r="M139" s="28"/>
      <c r="N139" s="28" t="s">
        <v>480</v>
      </c>
      <c r="O139" s="30" t="s">
        <v>354</v>
      </c>
      <c r="P139" s="31" t="n">
        <v>88</v>
      </c>
      <c r="Q139" s="31" t="s">
        <v>155</v>
      </c>
      <c r="R139" s="32" t="s">
        <v>481</v>
      </c>
    </row>
    <row r="140" customFormat="false" ht="15" hidden="false" customHeight="true" outlineLevel="0" collapsed="false">
      <c r="A140" s="10" t="s">
        <v>482</v>
      </c>
      <c r="B140" s="10" t="s">
        <v>483</v>
      </c>
      <c r="C140" s="11" t="s">
        <v>242</v>
      </c>
      <c r="D140" s="12" t="s">
        <v>243</v>
      </c>
      <c r="E140" s="12" t="s">
        <v>244</v>
      </c>
      <c r="F140" s="12" t="s">
        <v>81</v>
      </c>
      <c r="G140" s="12" t="s">
        <v>25</v>
      </c>
      <c r="H140" s="12" t="s">
        <v>105</v>
      </c>
      <c r="I140" s="13" t="s">
        <v>75</v>
      </c>
      <c r="J140" s="12" t="s">
        <v>28</v>
      </c>
      <c r="K140" s="11" t="s">
        <v>46</v>
      </c>
      <c r="L140" s="11" t="s">
        <v>30</v>
      </c>
      <c r="M140" s="12"/>
      <c r="N140" s="12"/>
      <c r="O140" s="12"/>
      <c r="P140" s="14" t="n">
        <v>16</v>
      </c>
      <c r="Q140" s="15" t="s">
        <v>31</v>
      </c>
      <c r="R140" s="16"/>
    </row>
    <row r="141" customFormat="false" ht="15" hidden="false" customHeight="true" outlineLevel="0" collapsed="false">
      <c r="A141" s="26" t="s">
        <v>484</v>
      </c>
      <c r="B141" s="26" t="s">
        <v>485</v>
      </c>
      <c r="C141" s="27" t="s">
        <v>42</v>
      </c>
      <c r="D141" s="28" t="s">
        <v>43</v>
      </c>
      <c r="E141" s="28" t="s">
        <v>44</v>
      </c>
      <c r="F141" s="28" t="s">
        <v>24</v>
      </c>
      <c r="G141" s="28" t="s">
        <v>65</v>
      </c>
      <c r="H141" s="28" t="s">
        <v>38</v>
      </c>
      <c r="I141" s="29" t="s">
        <v>75</v>
      </c>
      <c r="J141" s="28" t="s">
        <v>28</v>
      </c>
      <c r="K141" s="27" t="s">
        <v>352</v>
      </c>
      <c r="L141" s="27" t="s">
        <v>66</v>
      </c>
      <c r="M141" s="28" t="s">
        <v>419</v>
      </c>
      <c r="N141" s="28"/>
      <c r="O141" s="30" t="s">
        <v>420</v>
      </c>
      <c r="P141" s="31" t="n">
        <v>85</v>
      </c>
      <c r="Q141" s="31" t="s">
        <v>155</v>
      </c>
      <c r="R141" s="32" t="s">
        <v>421</v>
      </c>
    </row>
    <row r="142" customFormat="false" ht="15" hidden="false" customHeight="true" outlineLevel="0" collapsed="false">
      <c r="A142" s="17" t="s">
        <v>486</v>
      </c>
      <c r="B142" s="17" t="s">
        <v>487</v>
      </c>
      <c r="C142" s="18" t="s">
        <v>62</v>
      </c>
      <c r="D142" s="19" t="s">
        <v>63</v>
      </c>
      <c r="E142" s="19" t="s">
        <v>64</v>
      </c>
      <c r="F142" s="19" t="s">
        <v>52</v>
      </c>
      <c r="G142" s="19" t="s">
        <v>65</v>
      </c>
      <c r="H142" s="19" t="s">
        <v>54</v>
      </c>
      <c r="I142" s="20" t="s">
        <v>131</v>
      </c>
      <c r="J142" s="19" t="s">
        <v>28</v>
      </c>
      <c r="K142" s="18" t="s">
        <v>29</v>
      </c>
      <c r="L142" s="18" t="s">
        <v>66</v>
      </c>
      <c r="M142" s="19" t="s">
        <v>67</v>
      </c>
      <c r="N142" s="19"/>
      <c r="O142" s="21" t="s">
        <v>65</v>
      </c>
      <c r="P142" s="25" t="n">
        <v>55</v>
      </c>
      <c r="Q142" s="23" t="s">
        <v>58</v>
      </c>
      <c r="R142" s="24" t="s">
        <v>68</v>
      </c>
    </row>
    <row r="143" customFormat="false" ht="15" hidden="false" customHeight="true" outlineLevel="0" collapsed="false">
      <c r="A143" s="33" t="s">
        <v>488</v>
      </c>
      <c r="B143" s="33" t="s">
        <v>489</v>
      </c>
      <c r="C143" s="34" t="s">
        <v>108</v>
      </c>
      <c r="D143" s="35" t="s">
        <v>109</v>
      </c>
      <c r="E143" s="35" t="s">
        <v>110</v>
      </c>
      <c r="F143" s="35" t="s">
        <v>37</v>
      </c>
      <c r="G143" s="35" t="s">
        <v>25</v>
      </c>
      <c r="H143" s="35" t="s">
        <v>38</v>
      </c>
      <c r="I143" s="36" t="s">
        <v>168</v>
      </c>
      <c r="J143" s="35" t="s">
        <v>169</v>
      </c>
      <c r="K143" s="34" t="s">
        <v>111</v>
      </c>
      <c r="L143" s="34" t="s">
        <v>112</v>
      </c>
      <c r="M143" s="35"/>
      <c r="N143" s="35"/>
      <c r="O143" s="37" t="s">
        <v>170</v>
      </c>
      <c r="P143" s="38" t="n">
        <v>30</v>
      </c>
      <c r="Q143" s="39" t="s">
        <v>171</v>
      </c>
      <c r="R143" s="40" t="s">
        <v>172</v>
      </c>
    </row>
    <row r="144" customFormat="false" ht="15" hidden="false" customHeight="true" outlineLevel="0" collapsed="false">
      <c r="A144" s="10" t="s">
        <v>490</v>
      </c>
      <c r="B144" s="10" t="s">
        <v>491</v>
      </c>
      <c r="C144" s="11" t="s">
        <v>148</v>
      </c>
      <c r="D144" s="12" t="s">
        <v>149</v>
      </c>
      <c r="E144" s="12" t="s">
        <v>123</v>
      </c>
      <c r="F144" s="12" t="s">
        <v>24</v>
      </c>
      <c r="G144" s="12" t="s">
        <v>25</v>
      </c>
      <c r="H144" s="12" t="s">
        <v>26</v>
      </c>
      <c r="I144" s="13" t="s">
        <v>39</v>
      </c>
      <c r="J144" s="12" t="s">
        <v>28</v>
      </c>
      <c r="K144" s="11" t="s">
        <v>46</v>
      </c>
      <c r="L144" s="11" t="s">
        <v>30</v>
      </c>
      <c r="M144" s="12"/>
      <c r="N144" s="12"/>
      <c r="O144" s="12"/>
      <c r="P144" s="14" t="n">
        <v>10</v>
      </c>
      <c r="Q144" s="15" t="s">
        <v>31</v>
      </c>
      <c r="R144" s="16"/>
    </row>
    <row r="145" customFormat="false" ht="15" hidden="false" customHeight="true" outlineLevel="0" collapsed="false">
      <c r="A145" s="17" t="s">
        <v>492</v>
      </c>
      <c r="B145" s="17" t="s">
        <v>493</v>
      </c>
      <c r="C145" s="18" t="s">
        <v>103</v>
      </c>
      <c r="D145" s="19" t="s">
        <v>104</v>
      </c>
      <c r="E145" s="19" t="s">
        <v>80</v>
      </c>
      <c r="F145" s="19" t="s">
        <v>81</v>
      </c>
      <c r="G145" s="19" t="s">
        <v>53</v>
      </c>
      <c r="H145" s="19" t="s">
        <v>96</v>
      </c>
      <c r="I145" s="20" t="s">
        <v>224</v>
      </c>
      <c r="J145" s="19" t="s">
        <v>28</v>
      </c>
      <c r="K145" s="18" t="s">
        <v>29</v>
      </c>
      <c r="L145" s="18" t="s">
        <v>30</v>
      </c>
      <c r="M145" s="19"/>
      <c r="N145" s="19" t="s">
        <v>494</v>
      </c>
      <c r="O145" s="21" t="s">
        <v>99</v>
      </c>
      <c r="P145" s="23" t="n">
        <v>70</v>
      </c>
      <c r="Q145" s="23" t="s">
        <v>58</v>
      </c>
      <c r="R145" s="24" t="s">
        <v>495</v>
      </c>
    </row>
    <row r="146" customFormat="false" ht="15" hidden="false" customHeight="true" outlineLevel="0" collapsed="false">
      <c r="A146" s="26" t="s">
        <v>496</v>
      </c>
      <c r="B146" s="26" t="s">
        <v>497</v>
      </c>
      <c r="C146" s="27" t="s">
        <v>187</v>
      </c>
      <c r="D146" s="28" t="s">
        <v>188</v>
      </c>
      <c r="E146" s="28" t="s">
        <v>44</v>
      </c>
      <c r="F146" s="28" t="s">
        <v>24</v>
      </c>
      <c r="G146" s="28" t="s">
        <v>65</v>
      </c>
      <c r="H146" s="28" t="s">
        <v>54</v>
      </c>
      <c r="I146" s="29" t="s">
        <v>27</v>
      </c>
      <c r="J146" s="28" t="s">
        <v>28</v>
      </c>
      <c r="K146" s="27" t="s">
        <v>352</v>
      </c>
      <c r="L146" s="27" t="s">
        <v>66</v>
      </c>
      <c r="M146" s="28" t="s">
        <v>419</v>
      </c>
      <c r="N146" s="28"/>
      <c r="O146" s="30" t="s">
        <v>420</v>
      </c>
      <c r="P146" s="31" t="n">
        <v>85</v>
      </c>
      <c r="Q146" s="31" t="s">
        <v>155</v>
      </c>
      <c r="R146" s="32" t="s">
        <v>421</v>
      </c>
    </row>
    <row r="147" customFormat="false" ht="15" hidden="false" customHeight="true" outlineLevel="0" collapsed="false">
      <c r="A147" s="3" t="s">
        <v>498</v>
      </c>
      <c r="B147" s="3" t="s">
        <v>499</v>
      </c>
      <c r="C147" s="4" t="s">
        <v>143</v>
      </c>
      <c r="D147" s="5" t="s">
        <v>144</v>
      </c>
      <c r="E147" s="5" t="s">
        <v>145</v>
      </c>
      <c r="F147" s="5" t="s">
        <v>81</v>
      </c>
      <c r="G147" s="5" t="s">
        <v>25</v>
      </c>
      <c r="H147" s="5" t="s">
        <v>38</v>
      </c>
      <c r="I147" s="6" t="s">
        <v>163</v>
      </c>
      <c r="J147" s="5" t="s">
        <v>28</v>
      </c>
      <c r="K147" s="4" t="s">
        <v>46</v>
      </c>
      <c r="L147" s="4" t="s">
        <v>30</v>
      </c>
      <c r="M147" s="5"/>
      <c r="N147" s="5"/>
      <c r="O147" s="5"/>
      <c r="P147" s="7" t="n">
        <v>19</v>
      </c>
      <c r="Q147" s="8" t="s">
        <v>31</v>
      </c>
      <c r="R147" s="9"/>
    </row>
    <row r="148" customFormat="false" ht="15" hidden="false" customHeight="true" outlineLevel="0" collapsed="false">
      <c r="A148" s="10" t="s">
        <v>500</v>
      </c>
      <c r="B148" s="10" t="s">
        <v>501</v>
      </c>
      <c r="C148" s="11" t="s">
        <v>148</v>
      </c>
      <c r="D148" s="12" t="s">
        <v>149</v>
      </c>
      <c r="E148" s="12" t="s">
        <v>123</v>
      </c>
      <c r="F148" s="12" t="s">
        <v>24</v>
      </c>
      <c r="G148" s="12" t="s">
        <v>25</v>
      </c>
      <c r="H148" s="12" t="s">
        <v>38</v>
      </c>
      <c r="I148" s="13" t="s">
        <v>55</v>
      </c>
      <c r="J148" s="12" t="s">
        <v>28</v>
      </c>
      <c r="K148" s="11" t="s">
        <v>29</v>
      </c>
      <c r="L148" s="11" t="s">
        <v>30</v>
      </c>
      <c r="M148" s="12"/>
      <c r="N148" s="12"/>
      <c r="O148" s="12"/>
      <c r="P148" s="14" t="n">
        <v>11</v>
      </c>
      <c r="Q148" s="15" t="s">
        <v>31</v>
      </c>
      <c r="R148" s="16"/>
    </row>
    <row r="149" customFormat="false" ht="15" hidden="false" customHeight="true" outlineLevel="0" collapsed="false">
      <c r="A149" s="3" t="s">
        <v>502</v>
      </c>
      <c r="B149" s="3" t="s">
        <v>503</v>
      </c>
      <c r="C149" s="4" t="s">
        <v>148</v>
      </c>
      <c r="D149" s="5" t="s">
        <v>149</v>
      </c>
      <c r="E149" s="5" t="s">
        <v>123</v>
      </c>
      <c r="F149" s="5" t="s">
        <v>24</v>
      </c>
      <c r="G149" s="5" t="s">
        <v>25</v>
      </c>
      <c r="H149" s="5" t="s">
        <v>26</v>
      </c>
      <c r="I149" s="6" t="s">
        <v>82</v>
      </c>
      <c r="J149" s="5" t="s">
        <v>28</v>
      </c>
      <c r="K149" s="4" t="s">
        <v>29</v>
      </c>
      <c r="L149" s="4" t="s">
        <v>30</v>
      </c>
      <c r="M149" s="5"/>
      <c r="N149" s="5"/>
      <c r="O149" s="5"/>
      <c r="P149" s="7" t="n">
        <v>10</v>
      </c>
      <c r="Q149" s="8" t="s">
        <v>31</v>
      </c>
      <c r="R149" s="9"/>
    </row>
    <row r="150" customFormat="false" ht="15" hidden="false" customHeight="true" outlineLevel="0" collapsed="false">
      <c r="A150" s="26" t="s">
        <v>504</v>
      </c>
      <c r="B150" s="26" t="s">
        <v>505</v>
      </c>
      <c r="C150" s="27" t="s">
        <v>148</v>
      </c>
      <c r="D150" s="28" t="s">
        <v>149</v>
      </c>
      <c r="E150" s="28" t="s">
        <v>123</v>
      </c>
      <c r="F150" s="28" t="s">
        <v>24</v>
      </c>
      <c r="G150" s="28" t="s">
        <v>153</v>
      </c>
      <c r="H150" s="28" t="s">
        <v>38</v>
      </c>
      <c r="I150" s="29" t="s">
        <v>134</v>
      </c>
      <c r="J150" s="28" t="s">
        <v>135</v>
      </c>
      <c r="K150" s="27" t="s">
        <v>46</v>
      </c>
      <c r="L150" s="27" t="s">
        <v>30</v>
      </c>
      <c r="M150" s="28"/>
      <c r="N150" s="28"/>
      <c r="O150" s="30" t="s">
        <v>154</v>
      </c>
      <c r="P150" s="31" t="n">
        <v>95</v>
      </c>
      <c r="Q150" s="31" t="s">
        <v>155</v>
      </c>
      <c r="R150" s="32" t="s">
        <v>506</v>
      </c>
    </row>
    <row r="151" customFormat="false" ht="15" hidden="false" customHeight="true" outlineLevel="0" collapsed="false">
      <c r="A151" s="3" t="s">
        <v>507</v>
      </c>
      <c r="B151" s="3" t="s">
        <v>508</v>
      </c>
      <c r="C151" s="4" t="s">
        <v>336</v>
      </c>
      <c r="D151" s="5" t="s">
        <v>337</v>
      </c>
      <c r="E151" s="5" t="s">
        <v>80</v>
      </c>
      <c r="F151" s="5" t="s">
        <v>81</v>
      </c>
      <c r="G151" s="5" t="s">
        <v>25</v>
      </c>
      <c r="H151" s="5" t="s">
        <v>105</v>
      </c>
      <c r="I151" s="6" t="s">
        <v>338</v>
      </c>
      <c r="J151" s="5" t="s">
        <v>339</v>
      </c>
      <c r="K151" s="4" t="s">
        <v>29</v>
      </c>
      <c r="L151" s="4" t="s">
        <v>30</v>
      </c>
      <c r="M151" s="5"/>
      <c r="N151" s="5"/>
      <c r="O151" s="5"/>
      <c r="P151" s="7" t="n">
        <v>16</v>
      </c>
      <c r="Q151" s="8" t="s">
        <v>31</v>
      </c>
      <c r="R151" s="9"/>
    </row>
    <row r="152" customFormat="false" ht="15" hidden="false" customHeight="true" outlineLevel="0" collapsed="false">
      <c r="A152" s="10" t="s">
        <v>509</v>
      </c>
      <c r="B152" s="10" t="s">
        <v>510</v>
      </c>
      <c r="C152" s="11" t="s">
        <v>62</v>
      </c>
      <c r="D152" s="12" t="s">
        <v>63</v>
      </c>
      <c r="E152" s="12" t="s">
        <v>64</v>
      </c>
      <c r="F152" s="12" t="s">
        <v>52</v>
      </c>
      <c r="G152" s="12" t="s">
        <v>25</v>
      </c>
      <c r="H152" s="12" t="s">
        <v>105</v>
      </c>
      <c r="I152" s="13" t="s">
        <v>82</v>
      </c>
      <c r="J152" s="12" t="s">
        <v>28</v>
      </c>
      <c r="K152" s="11" t="s">
        <v>29</v>
      </c>
      <c r="L152" s="11" t="s">
        <v>30</v>
      </c>
      <c r="M152" s="12"/>
      <c r="N152" s="12"/>
      <c r="O152" s="12"/>
      <c r="P152" s="14" t="n">
        <v>13</v>
      </c>
      <c r="Q152" s="15" t="s">
        <v>31</v>
      </c>
      <c r="R152" s="16"/>
    </row>
    <row r="153" customFormat="false" ht="15" hidden="false" customHeight="true" outlineLevel="0" collapsed="false">
      <c r="A153" s="3" t="s">
        <v>511</v>
      </c>
      <c r="B153" s="3" t="s">
        <v>512</v>
      </c>
      <c r="C153" s="4" t="s">
        <v>34</v>
      </c>
      <c r="D153" s="5" t="s">
        <v>35</v>
      </c>
      <c r="E153" s="5" t="s">
        <v>36</v>
      </c>
      <c r="F153" s="5" t="s">
        <v>37</v>
      </c>
      <c r="G153" s="5" t="s">
        <v>25</v>
      </c>
      <c r="H153" s="5" t="s">
        <v>38</v>
      </c>
      <c r="I153" s="6" t="s">
        <v>131</v>
      </c>
      <c r="J153" s="5" t="s">
        <v>28</v>
      </c>
      <c r="K153" s="4" t="s">
        <v>29</v>
      </c>
      <c r="L153" s="4" t="s">
        <v>30</v>
      </c>
      <c r="M153" s="5"/>
      <c r="N153" s="5"/>
      <c r="O153" s="5"/>
      <c r="P153" s="7" t="n">
        <v>20</v>
      </c>
      <c r="Q153" s="8" t="s">
        <v>31</v>
      </c>
      <c r="R153" s="9"/>
    </row>
    <row r="154" customFormat="false" ht="15" hidden="false" customHeight="true" outlineLevel="0" collapsed="false">
      <c r="A154" s="10" t="s">
        <v>513</v>
      </c>
      <c r="B154" s="10" t="s">
        <v>514</v>
      </c>
      <c r="C154" s="11" t="s">
        <v>148</v>
      </c>
      <c r="D154" s="12" t="s">
        <v>149</v>
      </c>
      <c r="E154" s="12" t="s">
        <v>123</v>
      </c>
      <c r="F154" s="12" t="s">
        <v>24</v>
      </c>
      <c r="G154" s="12" t="s">
        <v>25</v>
      </c>
      <c r="H154" s="12" t="s">
        <v>38</v>
      </c>
      <c r="I154" s="13" t="s">
        <v>39</v>
      </c>
      <c r="J154" s="12" t="s">
        <v>28</v>
      </c>
      <c r="K154" s="11" t="s">
        <v>29</v>
      </c>
      <c r="L154" s="11" t="s">
        <v>30</v>
      </c>
      <c r="M154" s="12"/>
      <c r="N154" s="12"/>
      <c r="O154" s="12"/>
      <c r="P154" s="14" t="n">
        <v>11</v>
      </c>
      <c r="Q154" s="15" t="s">
        <v>31</v>
      </c>
      <c r="R154" s="16"/>
    </row>
    <row r="155" customFormat="false" ht="15" hidden="false" customHeight="true" outlineLevel="0" collapsed="false">
      <c r="A155" s="33" t="s">
        <v>515</v>
      </c>
      <c r="B155" s="33" t="s">
        <v>516</v>
      </c>
      <c r="C155" s="34" t="s">
        <v>210</v>
      </c>
      <c r="D155" s="35" t="s">
        <v>211</v>
      </c>
      <c r="E155" s="35" t="s">
        <v>123</v>
      </c>
      <c r="F155" s="35" t="s">
        <v>24</v>
      </c>
      <c r="G155" s="35" t="s">
        <v>25</v>
      </c>
      <c r="H155" s="35" t="s">
        <v>38</v>
      </c>
      <c r="I155" s="36" t="s">
        <v>131</v>
      </c>
      <c r="J155" s="35" t="s">
        <v>28</v>
      </c>
      <c r="K155" s="34" t="s">
        <v>111</v>
      </c>
      <c r="L155" s="34" t="s">
        <v>112</v>
      </c>
      <c r="M155" s="35"/>
      <c r="N155" s="35"/>
      <c r="O155" s="37" t="s">
        <v>170</v>
      </c>
      <c r="P155" s="38" t="n">
        <v>30</v>
      </c>
      <c r="Q155" s="39" t="s">
        <v>171</v>
      </c>
      <c r="R155" s="40" t="s">
        <v>172</v>
      </c>
    </row>
    <row r="156" customFormat="false" ht="15" hidden="false" customHeight="true" outlineLevel="0" collapsed="false">
      <c r="A156" s="17" t="s">
        <v>517</v>
      </c>
      <c r="B156" s="17" t="s">
        <v>518</v>
      </c>
      <c r="C156" s="18" t="s">
        <v>21</v>
      </c>
      <c r="D156" s="19" t="s">
        <v>22</v>
      </c>
      <c r="E156" s="19" t="s">
        <v>23</v>
      </c>
      <c r="F156" s="19" t="s">
        <v>24</v>
      </c>
      <c r="G156" s="19" t="s">
        <v>281</v>
      </c>
      <c r="H156" s="19" t="s">
        <v>38</v>
      </c>
      <c r="I156" s="20" t="s">
        <v>55</v>
      </c>
      <c r="J156" s="19" t="s">
        <v>28</v>
      </c>
      <c r="K156" s="18" t="s">
        <v>282</v>
      </c>
      <c r="L156" s="18" t="s">
        <v>282</v>
      </c>
      <c r="M156" s="19" t="s">
        <v>283</v>
      </c>
      <c r="N156" s="19"/>
      <c r="O156" s="21" t="s">
        <v>284</v>
      </c>
      <c r="P156" s="23" t="n">
        <v>70</v>
      </c>
      <c r="Q156" s="23" t="s">
        <v>58</v>
      </c>
      <c r="R156" s="24" t="s">
        <v>379</v>
      </c>
    </row>
    <row r="157" customFormat="false" ht="15" hidden="false" customHeight="true" outlineLevel="0" collapsed="false">
      <c r="A157" s="17" t="s">
        <v>519</v>
      </c>
      <c r="B157" s="17" t="s">
        <v>520</v>
      </c>
      <c r="C157" s="18" t="s">
        <v>21</v>
      </c>
      <c r="D157" s="19" t="s">
        <v>22</v>
      </c>
      <c r="E157" s="19" t="s">
        <v>23</v>
      </c>
      <c r="F157" s="19" t="s">
        <v>24</v>
      </c>
      <c r="G157" s="19" t="s">
        <v>281</v>
      </c>
      <c r="H157" s="19" t="s">
        <v>38</v>
      </c>
      <c r="I157" s="20" t="s">
        <v>39</v>
      </c>
      <c r="J157" s="19" t="s">
        <v>28</v>
      </c>
      <c r="K157" s="18" t="s">
        <v>282</v>
      </c>
      <c r="L157" s="18" t="s">
        <v>282</v>
      </c>
      <c r="M157" s="19" t="s">
        <v>283</v>
      </c>
      <c r="N157" s="19"/>
      <c r="O157" s="21" t="s">
        <v>284</v>
      </c>
      <c r="P157" s="23" t="n">
        <v>70</v>
      </c>
      <c r="Q157" s="23" t="s">
        <v>58</v>
      </c>
      <c r="R157" s="24" t="s">
        <v>379</v>
      </c>
    </row>
    <row r="158" customFormat="false" ht="15" hidden="false" customHeight="true" outlineLevel="0" collapsed="false">
      <c r="A158" s="17" t="s">
        <v>521</v>
      </c>
      <c r="B158" s="17" t="s">
        <v>522</v>
      </c>
      <c r="C158" s="18" t="s">
        <v>21</v>
      </c>
      <c r="D158" s="19" t="s">
        <v>22</v>
      </c>
      <c r="E158" s="19" t="s">
        <v>23</v>
      </c>
      <c r="F158" s="19" t="s">
        <v>24</v>
      </c>
      <c r="G158" s="19" t="s">
        <v>281</v>
      </c>
      <c r="H158" s="19" t="s">
        <v>54</v>
      </c>
      <c r="I158" s="20" t="s">
        <v>131</v>
      </c>
      <c r="J158" s="19" t="s">
        <v>28</v>
      </c>
      <c r="K158" s="18" t="s">
        <v>282</v>
      </c>
      <c r="L158" s="18" t="s">
        <v>282</v>
      </c>
      <c r="M158" s="19" t="s">
        <v>283</v>
      </c>
      <c r="N158" s="19"/>
      <c r="O158" s="21" t="s">
        <v>284</v>
      </c>
      <c r="P158" s="23" t="n">
        <v>70</v>
      </c>
      <c r="Q158" s="23" t="s">
        <v>58</v>
      </c>
      <c r="R158" s="24" t="s">
        <v>379</v>
      </c>
    </row>
    <row r="159" customFormat="false" ht="15" hidden="false" customHeight="true" outlineLevel="0" collapsed="false">
      <c r="A159" s="17" t="s">
        <v>523</v>
      </c>
      <c r="B159" s="17" t="s">
        <v>524</v>
      </c>
      <c r="C159" s="18" t="s">
        <v>21</v>
      </c>
      <c r="D159" s="19" t="s">
        <v>22</v>
      </c>
      <c r="E159" s="19" t="s">
        <v>23</v>
      </c>
      <c r="F159" s="19" t="s">
        <v>24</v>
      </c>
      <c r="G159" s="19" t="s">
        <v>281</v>
      </c>
      <c r="H159" s="19" t="s">
        <v>54</v>
      </c>
      <c r="I159" s="20" t="s">
        <v>55</v>
      </c>
      <c r="J159" s="19" t="s">
        <v>28</v>
      </c>
      <c r="K159" s="18" t="s">
        <v>282</v>
      </c>
      <c r="L159" s="18" t="s">
        <v>282</v>
      </c>
      <c r="M159" s="19" t="s">
        <v>283</v>
      </c>
      <c r="N159" s="19"/>
      <c r="O159" s="21" t="s">
        <v>284</v>
      </c>
      <c r="P159" s="23" t="n">
        <v>70</v>
      </c>
      <c r="Q159" s="23" t="s">
        <v>58</v>
      </c>
      <c r="R159" s="24" t="s">
        <v>379</v>
      </c>
    </row>
    <row r="160" customFormat="false" ht="15" hidden="false" customHeight="true" outlineLevel="0" collapsed="false">
      <c r="A160" s="17" t="s">
        <v>525</v>
      </c>
      <c r="B160" s="17" t="s">
        <v>526</v>
      </c>
      <c r="C160" s="18" t="s">
        <v>21</v>
      </c>
      <c r="D160" s="19" t="s">
        <v>22</v>
      </c>
      <c r="E160" s="19" t="s">
        <v>23</v>
      </c>
      <c r="F160" s="19" t="s">
        <v>24</v>
      </c>
      <c r="G160" s="19" t="s">
        <v>281</v>
      </c>
      <c r="H160" s="19" t="s">
        <v>54</v>
      </c>
      <c r="I160" s="20" t="s">
        <v>39</v>
      </c>
      <c r="J160" s="19" t="s">
        <v>28</v>
      </c>
      <c r="K160" s="18" t="s">
        <v>282</v>
      </c>
      <c r="L160" s="18" t="s">
        <v>282</v>
      </c>
      <c r="M160" s="19" t="s">
        <v>283</v>
      </c>
      <c r="N160" s="19"/>
      <c r="O160" s="21" t="s">
        <v>284</v>
      </c>
      <c r="P160" s="23" t="n">
        <v>70</v>
      </c>
      <c r="Q160" s="23" t="s">
        <v>58</v>
      </c>
      <c r="R160" s="24" t="s">
        <v>379</v>
      </c>
    </row>
    <row r="161" customFormat="false" ht="15" hidden="false" customHeight="true" outlineLevel="0" collapsed="false">
      <c r="A161" s="17" t="s">
        <v>527</v>
      </c>
      <c r="B161" s="17" t="s">
        <v>528</v>
      </c>
      <c r="C161" s="18" t="s">
        <v>21</v>
      </c>
      <c r="D161" s="19" t="s">
        <v>22</v>
      </c>
      <c r="E161" s="19" t="s">
        <v>23</v>
      </c>
      <c r="F161" s="19" t="s">
        <v>24</v>
      </c>
      <c r="G161" s="19" t="s">
        <v>281</v>
      </c>
      <c r="H161" s="19" t="s">
        <v>38</v>
      </c>
      <c r="I161" s="20" t="s">
        <v>55</v>
      </c>
      <c r="J161" s="19" t="s">
        <v>28</v>
      </c>
      <c r="K161" s="18" t="s">
        <v>282</v>
      </c>
      <c r="L161" s="18" t="s">
        <v>282</v>
      </c>
      <c r="M161" s="19" t="s">
        <v>283</v>
      </c>
      <c r="N161" s="19"/>
      <c r="O161" s="21" t="s">
        <v>284</v>
      </c>
      <c r="P161" s="23" t="n">
        <v>70</v>
      </c>
      <c r="Q161" s="23" t="s">
        <v>58</v>
      </c>
      <c r="R161" s="24" t="s">
        <v>379</v>
      </c>
    </row>
    <row r="162" customFormat="false" ht="15" hidden="false" customHeight="true" outlineLevel="0" collapsed="false">
      <c r="A162" s="10" t="s">
        <v>529</v>
      </c>
      <c r="B162" s="10" t="s">
        <v>530</v>
      </c>
      <c r="C162" s="11" t="s">
        <v>49</v>
      </c>
      <c r="D162" s="12" t="s">
        <v>50</v>
      </c>
      <c r="E162" s="12" t="s">
        <v>51</v>
      </c>
      <c r="F162" s="12" t="s">
        <v>52</v>
      </c>
      <c r="G162" s="12" t="s">
        <v>25</v>
      </c>
      <c r="H162" s="12" t="s">
        <v>38</v>
      </c>
      <c r="I162" s="13" t="s">
        <v>163</v>
      </c>
      <c r="J162" s="12" t="s">
        <v>28</v>
      </c>
      <c r="K162" s="11" t="s">
        <v>29</v>
      </c>
      <c r="L162" s="11" t="s">
        <v>30</v>
      </c>
      <c r="M162" s="12"/>
      <c r="N162" s="12"/>
      <c r="O162" s="12"/>
      <c r="P162" s="14" t="n">
        <v>10</v>
      </c>
      <c r="Q162" s="15" t="s">
        <v>31</v>
      </c>
      <c r="R162" s="16"/>
    </row>
    <row r="163" customFormat="false" ht="15" hidden="false" customHeight="true" outlineLevel="0" collapsed="false">
      <c r="A163" s="26" t="s">
        <v>531</v>
      </c>
      <c r="B163" s="26" t="s">
        <v>532</v>
      </c>
      <c r="C163" s="27" t="s">
        <v>533</v>
      </c>
      <c r="D163" s="28" t="s">
        <v>534</v>
      </c>
      <c r="E163" s="28" t="s">
        <v>535</v>
      </c>
      <c r="F163" s="28" t="s">
        <v>81</v>
      </c>
      <c r="G163" s="28" t="s">
        <v>53</v>
      </c>
      <c r="H163" s="28" t="s">
        <v>536</v>
      </c>
      <c r="I163" s="29" t="s">
        <v>537</v>
      </c>
      <c r="J163" s="28" t="s">
        <v>538</v>
      </c>
      <c r="K163" s="27" t="s">
        <v>29</v>
      </c>
      <c r="L163" s="27" t="s">
        <v>30</v>
      </c>
      <c r="M163" s="28"/>
      <c r="N163" s="28" t="s">
        <v>539</v>
      </c>
      <c r="O163" s="30" t="s">
        <v>540</v>
      </c>
      <c r="P163" s="31" t="n">
        <v>95</v>
      </c>
      <c r="Q163" s="31" t="s">
        <v>155</v>
      </c>
      <c r="R163" s="32" t="s">
        <v>541</v>
      </c>
    </row>
    <row r="164" customFormat="false" ht="15" hidden="false" customHeight="true" outlineLevel="0" collapsed="false">
      <c r="A164" s="26" t="s">
        <v>542</v>
      </c>
      <c r="B164" s="26" t="s">
        <v>543</v>
      </c>
      <c r="C164" s="27" t="s">
        <v>42</v>
      </c>
      <c r="D164" s="28" t="s">
        <v>43</v>
      </c>
      <c r="E164" s="28" t="s">
        <v>44</v>
      </c>
      <c r="F164" s="28" t="s">
        <v>24</v>
      </c>
      <c r="G164" s="28" t="s">
        <v>65</v>
      </c>
      <c r="H164" s="28" t="s">
        <v>54</v>
      </c>
      <c r="I164" s="29" t="s">
        <v>163</v>
      </c>
      <c r="J164" s="28" t="s">
        <v>28</v>
      </c>
      <c r="K164" s="27" t="s">
        <v>352</v>
      </c>
      <c r="L164" s="27" t="s">
        <v>66</v>
      </c>
      <c r="M164" s="28" t="s">
        <v>419</v>
      </c>
      <c r="N164" s="28"/>
      <c r="O164" s="30" t="s">
        <v>420</v>
      </c>
      <c r="P164" s="31" t="n">
        <v>85</v>
      </c>
      <c r="Q164" s="31" t="s">
        <v>155</v>
      </c>
      <c r="R164" s="32" t="s">
        <v>421</v>
      </c>
    </row>
    <row r="165" customFormat="false" ht="15" hidden="false" customHeight="true" outlineLevel="0" collapsed="false">
      <c r="A165" s="3" t="s">
        <v>544</v>
      </c>
      <c r="B165" s="3" t="s">
        <v>545</v>
      </c>
      <c r="C165" s="4" t="s">
        <v>159</v>
      </c>
      <c r="D165" s="5" t="s">
        <v>160</v>
      </c>
      <c r="E165" s="5" t="s">
        <v>110</v>
      </c>
      <c r="F165" s="5" t="s">
        <v>37</v>
      </c>
      <c r="G165" s="5" t="s">
        <v>25</v>
      </c>
      <c r="H165" s="5" t="s">
        <v>26</v>
      </c>
      <c r="I165" s="6" t="s">
        <v>55</v>
      </c>
      <c r="J165" s="5" t="s">
        <v>28</v>
      </c>
      <c r="K165" s="4" t="s">
        <v>29</v>
      </c>
      <c r="L165" s="4" t="s">
        <v>30</v>
      </c>
      <c r="M165" s="5"/>
      <c r="N165" s="5"/>
      <c r="O165" s="5"/>
      <c r="P165" s="7" t="n">
        <v>9</v>
      </c>
      <c r="Q165" s="8" t="s">
        <v>31</v>
      </c>
      <c r="R165" s="9"/>
    </row>
    <row r="166" customFormat="false" ht="15" hidden="false" customHeight="true" outlineLevel="0" collapsed="false">
      <c r="A166" s="17" t="s">
        <v>546</v>
      </c>
      <c r="B166" s="17" t="s">
        <v>547</v>
      </c>
      <c r="C166" s="18" t="s">
        <v>242</v>
      </c>
      <c r="D166" s="19" t="s">
        <v>243</v>
      </c>
      <c r="E166" s="19" t="s">
        <v>244</v>
      </c>
      <c r="F166" s="19" t="s">
        <v>81</v>
      </c>
      <c r="G166" s="19" t="s">
        <v>65</v>
      </c>
      <c r="H166" s="19" t="s">
        <v>38</v>
      </c>
      <c r="I166" s="20" t="s">
        <v>163</v>
      </c>
      <c r="J166" s="19" t="s">
        <v>28</v>
      </c>
      <c r="K166" s="18" t="s">
        <v>46</v>
      </c>
      <c r="L166" s="18" t="s">
        <v>66</v>
      </c>
      <c r="M166" s="19" t="s">
        <v>462</v>
      </c>
      <c r="N166" s="19"/>
      <c r="O166" s="21" t="s">
        <v>65</v>
      </c>
      <c r="P166" s="25" t="n">
        <v>55</v>
      </c>
      <c r="Q166" s="23" t="s">
        <v>58</v>
      </c>
      <c r="R166" s="24" t="s">
        <v>68</v>
      </c>
    </row>
    <row r="167" customFormat="false" ht="15" hidden="false" customHeight="true" outlineLevel="0" collapsed="false">
      <c r="A167" s="3" t="s">
        <v>548</v>
      </c>
      <c r="B167" s="3" t="s">
        <v>549</v>
      </c>
      <c r="C167" s="4" t="s">
        <v>143</v>
      </c>
      <c r="D167" s="5" t="s">
        <v>144</v>
      </c>
      <c r="E167" s="5" t="s">
        <v>145</v>
      </c>
      <c r="F167" s="5" t="s">
        <v>81</v>
      </c>
      <c r="G167" s="5" t="s">
        <v>25</v>
      </c>
      <c r="H167" s="5" t="s">
        <v>105</v>
      </c>
      <c r="I167" s="6" t="s">
        <v>82</v>
      </c>
      <c r="J167" s="5" t="s">
        <v>28</v>
      </c>
      <c r="K167" s="4" t="s">
        <v>29</v>
      </c>
      <c r="L167" s="4" t="s">
        <v>30</v>
      </c>
      <c r="M167" s="5"/>
      <c r="N167" s="5"/>
      <c r="O167" s="5"/>
      <c r="P167" s="7" t="n">
        <v>13</v>
      </c>
      <c r="Q167" s="8" t="s">
        <v>31</v>
      </c>
      <c r="R167" s="9"/>
    </row>
  </sheetData>
  <autoFilter ref="A2:R167"/>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6" min="5" style="0" width="14"/>
    <col collapsed="false" customWidth="true" hidden="false" outlineLevel="0" max="7" min="7" style="0" width="13"/>
    <col collapsed="false" customWidth="true" hidden="false" outlineLevel="0" max="8" min="8" style="0" width="60"/>
  </cols>
  <sheetData>
    <row r="1" customFormat="false" ht="21.75" hidden="false" customHeight="true" outlineLevel="0" collapsed="false">
      <c r="A1" s="1" t="s">
        <v>550</v>
      </c>
      <c r="B1" s="1"/>
      <c r="C1" s="1"/>
      <c r="D1" s="1"/>
      <c r="E1" s="1"/>
      <c r="F1" s="1"/>
      <c r="G1" s="1"/>
      <c r="H1" s="1"/>
    </row>
    <row r="3" customFormat="false" ht="15.75" hidden="false" customHeight="true" outlineLevel="0" collapsed="false">
      <c r="A3" s="41" t="s">
        <v>551</v>
      </c>
      <c r="B3" s="41"/>
      <c r="C3" s="41"/>
      <c r="D3" s="41"/>
      <c r="E3" s="41"/>
      <c r="F3" s="41"/>
      <c r="G3" s="41"/>
      <c r="H3" s="41"/>
    </row>
    <row r="4" customFormat="false" ht="15" hidden="false" customHeight="false" outlineLevel="0" collapsed="false">
      <c r="A4" s="2" t="s">
        <v>552</v>
      </c>
      <c r="B4" s="2" t="s">
        <v>553</v>
      </c>
      <c r="C4" s="2"/>
      <c r="D4" s="2"/>
      <c r="E4" s="2" t="s">
        <v>554</v>
      </c>
      <c r="F4" s="2" t="s">
        <v>555</v>
      </c>
      <c r="G4" s="2"/>
      <c r="H4" s="2"/>
    </row>
    <row r="5" customFormat="false" ht="15" hidden="false" customHeight="true" outlineLevel="0" collapsed="false">
      <c r="A5" s="42" t="s">
        <v>556</v>
      </c>
      <c r="B5" s="43" t="n">
        <v>165</v>
      </c>
      <c r="C5" s="5"/>
      <c r="D5" s="5"/>
      <c r="E5" s="31" t="s">
        <v>155</v>
      </c>
      <c r="F5" s="31" t="n">
        <v>16</v>
      </c>
      <c r="G5" s="5"/>
      <c r="H5" s="5"/>
    </row>
    <row r="6" customFormat="false" ht="15" hidden="false" customHeight="true" outlineLevel="0" collapsed="false">
      <c r="A6" s="42" t="s">
        <v>557</v>
      </c>
      <c r="B6" s="43" t="n">
        <v>23</v>
      </c>
      <c r="C6" s="5"/>
      <c r="D6" s="5"/>
      <c r="E6" s="23" t="s">
        <v>58</v>
      </c>
      <c r="F6" s="23" t="n">
        <v>49</v>
      </c>
      <c r="G6" s="5"/>
      <c r="H6" s="5"/>
    </row>
    <row r="7" customFormat="false" ht="15" hidden="false" customHeight="true" outlineLevel="0" collapsed="false">
      <c r="A7" s="42" t="s">
        <v>558</v>
      </c>
      <c r="B7" s="43" t="n">
        <v>88</v>
      </c>
      <c r="C7" s="5"/>
      <c r="D7" s="5"/>
      <c r="E7" s="39" t="s">
        <v>171</v>
      </c>
      <c r="F7" s="39" t="n">
        <v>23</v>
      </c>
      <c r="G7" s="5"/>
      <c r="H7" s="5"/>
    </row>
    <row r="8" customFormat="false" ht="15" hidden="false" customHeight="true" outlineLevel="0" collapsed="false">
      <c r="A8" s="42" t="s">
        <v>559</v>
      </c>
      <c r="B8" s="43" t="n">
        <v>16</v>
      </c>
      <c r="C8" s="5"/>
      <c r="D8" s="5"/>
      <c r="E8" s="44" t="s">
        <v>31</v>
      </c>
      <c r="F8" s="44" t="n">
        <v>77</v>
      </c>
      <c r="G8" s="5"/>
      <c r="H8" s="5"/>
    </row>
    <row r="9" customFormat="false" ht="15" hidden="false" customHeight="true" outlineLevel="0" collapsed="false">
      <c r="A9" s="42" t="s">
        <v>560</v>
      </c>
      <c r="B9" s="43" t="n">
        <v>49</v>
      </c>
      <c r="C9" s="5"/>
      <c r="D9" s="5"/>
      <c r="E9" s="5"/>
      <c r="F9" s="5"/>
      <c r="G9" s="5"/>
      <c r="H9" s="5"/>
    </row>
    <row r="10" customFormat="false" ht="15" hidden="false" customHeight="true" outlineLevel="0" collapsed="false">
      <c r="A10" s="42" t="s">
        <v>561</v>
      </c>
      <c r="B10" s="43" t="n">
        <v>23</v>
      </c>
      <c r="C10" s="5"/>
      <c r="D10" s="5"/>
      <c r="E10" s="5"/>
      <c r="F10" s="5"/>
      <c r="G10" s="5"/>
      <c r="H10" s="5"/>
    </row>
    <row r="11" customFormat="false" ht="15" hidden="false" customHeight="true" outlineLevel="0" collapsed="false">
      <c r="A11" s="42" t="s">
        <v>562</v>
      </c>
      <c r="B11" s="43" t="n">
        <v>77</v>
      </c>
      <c r="C11" s="5"/>
      <c r="D11" s="5"/>
      <c r="E11" s="5"/>
      <c r="F11" s="5"/>
      <c r="G11" s="5"/>
      <c r="H11" s="5"/>
    </row>
    <row r="12" customFormat="false" ht="15" hidden="false" customHeight="true" outlineLevel="0" collapsed="false">
      <c r="A12" s="42" t="s">
        <v>563</v>
      </c>
      <c r="B12" s="43" t="n">
        <v>13</v>
      </c>
      <c r="C12" s="5"/>
      <c r="D12" s="5"/>
      <c r="E12" s="5"/>
      <c r="F12" s="5"/>
      <c r="G12" s="5"/>
      <c r="H12" s="5"/>
    </row>
    <row r="15" customFormat="false" ht="15.75" hidden="false" customHeight="true" outlineLevel="0" collapsed="false">
      <c r="A15" s="41" t="s">
        <v>564</v>
      </c>
      <c r="B15" s="41"/>
      <c r="C15" s="41"/>
      <c r="D15" s="41"/>
      <c r="E15" s="41"/>
      <c r="F15" s="41"/>
      <c r="G15" s="41"/>
      <c r="H15" s="41"/>
    </row>
    <row r="16" customFormat="false" ht="15" hidden="false" customHeight="false" outlineLevel="0" collapsed="false">
      <c r="A16" s="2" t="s">
        <v>565</v>
      </c>
      <c r="B16" s="2" t="s">
        <v>566</v>
      </c>
      <c r="C16" s="2" t="s">
        <v>17</v>
      </c>
      <c r="D16" s="2" t="s">
        <v>567</v>
      </c>
      <c r="E16" s="2" t="s">
        <v>568</v>
      </c>
      <c r="F16" s="2" t="s">
        <v>569</v>
      </c>
      <c r="G16" s="2"/>
      <c r="H16" s="2"/>
    </row>
    <row r="17" customFormat="false" ht="15" hidden="false" customHeight="true" outlineLevel="0" collapsed="false">
      <c r="A17" s="21" t="s">
        <v>284</v>
      </c>
      <c r="B17" s="8" t="n">
        <v>19</v>
      </c>
      <c r="C17" s="23" t="s">
        <v>58</v>
      </c>
      <c r="D17" s="5" t="s">
        <v>570</v>
      </c>
      <c r="E17" s="5" t="s">
        <v>571</v>
      </c>
      <c r="F17" s="5" t="s">
        <v>572</v>
      </c>
      <c r="G17" s="5"/>
      <c r="H17" s="5"/>
    </row>
    <row r="18" customFormat="false" ht="15" hidden="false" customHeight="true" outlineLevel="0" collapsed="false">
      <c r="A18" s="21" t="s">
        <v>573</v>
      </c>
      <c r="B18" s="8" t="n">
        <v>16</v>
      </c>
      <c r="C18" s="23" t="s">
        <v>58</v>
      </c>
      <c r="D18" s="5" t="s">
        <v>574</v>
      </c>
      <c r="E18" s="5" t="s">
        <v>575</v>
      </c>
      <c r="F18" s="5" t="s">
        <v>576</v>
      </c>
      <c r="G18" s="5"/>
      <c r="H18" s="5"/>
    </row>
    <row r="19" customFormat="false" ht="15" hidden="false" customHeight="true" outlineLevel="0" collapsed="false">
      <c r="A19" s="21" t="s">
        <v>65</v>
      </c>
      <c r="B19" s="8" t="n">
        <v>12</v>
      </c>
      <c r="C19" s="23" t="s">
        <v>58</v>
      </c>
      <c r="D19" s="5" t="s">
        <v>577</v>
      </c>
      <c r="E19" s="5" t="s">
        <v>578</v>
      </c>
      <c r="F19" s="5" t="s">
        <v>579</v>
      </c>
      <c r="G19" s="5"/>
      <c r="H19" s="5"/>
    </row>
    <row r="20" customFormat="false" ht="15" hidden="false" customHeight="true" outlineLevel="0" collapsed="false">
      <c r="A20" s="45" t="s">
        <v>170</v>
      </c>
      <c r="B20" s="8" t="n">
        <v>12</v>
      </c>
      <c r="C20" s="39" t="s">
        <v>171</v>
      </c>
      <c r="D20" s="5" t="s">
        <v>570</v>
      </c>
      <c r="E20" s="5" t="s">
        <v>580</v>
      </c>
      <c r="F20" s="5" t="s">
        <v>581</v>
      </c>
      <c r="G20" s="5"/>
      <c r="H20" s="5"/>
    </row>
    <row r="21" customFormat="false" ht="15" hidden="false" customHeight="true" outlineLevel="0" collapsed="false">
      <c r="A21" s="21" t="s">
        <v>582</v>
      </c>
      <c r="B21" s="8" t="n">
        <v>11</v>
      </c>
      <c r="C21" s="23" t="s">
        <v>58</v>
      </c>
      <c r="D21" s="5" t="s">
        <v>574</v>
      </c>
      <c r="E21" s="5" t="s">
        <v>583</v>
      </c>
      <c r="F21" s="5" t="s">
        <v>584</v>
      </c>
      <c r="G21" s="5"/>
      <c r="H21" s="5"/>
    </row>
    <row r="22" customFormat="false" ht="15" hidden="false" customHeight="true" outlineLevel="0" collapsed="false">
      <c r="A22" s="45" t="s">
        <v>424</v>
      </c>
      <c r="B22" s="8" t="n">
        <v>11</v>
      </c>
      <c r="C22" s="39" t="s">
        <v>171</v>
      </c>
      <c r="D22" s="5" t="s">
        <v>570</v>
      </c>
      <c r="E22" s="5" t="s">
        <v>575</v>
      </c>
      <c r="F22" s="5" t="s">
        <v>585</v>
      </c>
      <c r="G22" s="5"/>
      <c r="H22" s="5"/>
    </row>
    <row r="23" customFormat="false" ht="15" hidden="false" customHeight="true" outlineLevel="0" collapsed="false">
      <c r="A23" s="30" t="s">
        <v>420</v>
      </c>
      <c r="B23" s="8" t="n">
        <v>6</v>
      </c>
      <c r="C23" s="31" t="s">
        <v>155</v>
      </c>
      <c r="D23" s="5" t="s">
        <v>586</v>
      </c>
      <c r="E23" s="5" t="s">
        <v>587</v>
      </c>
      <c r="F23" s="5" t="s">
        <v>588</v>
      </c>
      <c r="G23" s="5"/>
      <c r="H23" s="5"/>
    </row>
    <row r="24" customFormat="false" ht="15" hidden="false" customHeight="true" outlineLevel="0" collapsed="false">
      <c r="A24" s="21" t="s">
        <v>99</v>
      </c>
      <c r="B24" s="8" t="n">
        <v>5</v>
      </c>
      <c r="C24" s="23" t="s">
        <v>58</v>
      </c>
      <c r="D24" s="5" t="s">
        <v>589</v>
      </c>
      <c r="E24" s="5" t="s">
        <v>590</v>
      </c>
      <c r="F24" s="5" t="s">
        <v>591</v>
      </c>
      <c r="G24" s="5"/>
      <c r="H24" s="5"/>
    </row>
    <row r="25" customFormat="false" ht="15" hidden="false" customHeight="true" outlineLevel="0" collapsed="false">
      <c r="A25" s="30" t="s">
        <v>592</v>
      </c>
      <c r="B25" s="8" t="n">
        <v>5</v>
      </c>
      <c r="C25" s="31" t="s">
        <v>155</v>
      </c>
      <c r="D25" s="5" t="s">
        <v>574</v>
      </c>
      <c r="E25" s="5" t="s">
        <v>219</v>
      </c>
      <c r="F25" s="5" t="s">
        <v>593</v>
      </c>
      <c r="G25" s="5"/>
      <c r="H25" s="5"/>
    </row>
    <row r="26" customFormat="false" ht="15" hidden="false" customHeight="true" outlineLevel="0" collapsed="false">
      <c r="A26" s="21" t="s">
        <v>57</v>
      </c>
      <c r="B26" s="8" t="n">
        <v>2</v>
      </c>
      <c r="C26" s="23" t="s">
        <v>58</v>
      </c>
      <c r="D26" s="5" t="s">
        <v>594</v>
      </c>
      <c r="E26" s="5" t="s">
        <v>49</v>
      </c>
      <c r="F26" s="5" t="s">
        <v>595</v>
      </c>
      <c r="G26" s="5"/>
      <c r="H26" s="5"/>
    </row>
    <row r="27" customFormat="false" ht="15" hidden="false" customHeight="true" outlineLevel="0" collapsed="false">
      <c r="A27" s="30" t="s">
        <v>322</v>
      </c>
      <c r="B27" s="8" t="n">
        <v>2</v>
      </c>
      <c r="C27" s="31" t="s">
        <v>155</v>
      </c>
      <c r="D27" s="5" t="s">
        <v>574</v>
      </c>
      <c r="E27" s="5" t="s">
        <v>219</v>
      </c>
      <c r="F27" s="5" t="s">
        <v>596</v>
      </c>
      <c r="G27" s="5"/>
      <c r="H27" s="5"/>
    </row>
    <row r="28" customFormat="false" ht="15" hidden="false" customHeight="true" outlineLevel="0" collapsed="false">
      <c r="A28" s="30" t="s">
        <v>354</v>
      </c>
      <c r="B28" s="8" t="n">
        <v>2</v>
      </c>
      <c r="C28" s="31" t="s">
        <v>155</v>
      </c>
      <c r="D28" s="5" t="s">
        <v>597</v>
      </c>
      <c r="E28" s="5" t="s">
        <v>587</v>
      </c>
      <c r="F28" s="5" t="s">
        <v>598</v>
      </c>
      <c r="G28" s="5"/>
      <c r="H28" s="5"/>
    </row>
    <row r="29" customFormat="false" ht="15" hidden="false" customHeight="true" outlineLevel="0" collapsed="false">
      <c r="A29" s="30" t="s">
        <v>540</v>
      </c>
      <c r="B29" s="8" t="n">
        <v>1</v>
      </c>
      <c r="C29" s="31" t="s">
        <v>155</v>
      </c>
      <c r="D29" s="5" t="s">
        <v>599</v>
      </c>
      <c r="E29" s="5" t="s">
        <v>533</v>
      </c>
      <c r="F29" s="5" t="s">
        <v>600</v>
      </c>
      <c r="G29" s="5"/>
      <c r="H29" s="5"/>
    </row>
    <row r="32" customFormat="false" ht="15.75" hidden="false" customHeight="true" outlineLevel="0" collapsed="false">
      <c r="A32" s="41" t="s">
        <v>601</v>
      </c>
      <c r="B32" s="41"/>
      <c r="C32" s="41"/>
      <c r="D32" s="41"/>
      <c r="E32" s="41"/>
      <c r="F32" s="41"/>
      <c r="G32" s="41"/>
      <c r="H32" s="41"/>
    </row>
    <row r="33" customFormat="false" ht="15" hidden="false" customHeight="false" outlineLevel="0" collapsed="false">
      <c r="A33" s="2" t="s">
        <v>602</v>
      </c>
      <c r="B33" s="2" t="s">
        <v>3</v>
      </c>
      <c r="C33" s="2" t="s">
        <v>4</v>
      </c>
      <c r="D33" s="2" t="s">
        <v>5</v>
      </c>
      <c r="E33" s="2" t="s">
        <v>603</v>
      </c>
      <c r="F33" s="2" t="s">
        <v>604</v>
      </c>
      <c r="G33" s="2" t="s">
        <v>605</v>
      </c>
      <c r="H33" s="2" t="s">
        <v>606</v>
      </c>
    </row>
    <row r="34" customFormat="false" ht="15" hidden="false" customHeight="true" outlineLevel="0" collapsed="false">
      <c r="A34" s="8" t="n">
        <v>1</v>
      </c>
      <c r="B34" s="46" t="s">
        <v>148</v>
      </c>
      <c r="C34" s="5" t="s">
        <v>149</v>
      </c>
      <c r="D34" s="5" t="s">
        <v>123</v>
      </c>
      <c r="E34" s="5" t="s">
        <v>24</v>
      </c>
      <c r="F34" s="8" t="n">
        <v>3</v>
      </c>
      <c r="G34" s="31" t="n">
        <v>95</v>
      </c>
      <c r="H34" s="5" t="s">
        <v>607</v>
      </c>
    </row>
    <row r="35" customFormat="false" ht="15" hidden="false" customHeight="true" outlineLevel="0" collapsed="false">
      <c r="A35" s="8" t="n">
        <v>2</v>
      </c>
      <c r="B35" s="46" t="s">
        <v>219</v>
      </c>
      <c r="C35" s="5" t="s">
        <v>220</v>
      </c>
      <c r="D35" s="5" t="s">
        <v>80</v>
      </c>
      <c r="E35" s="5" t="s">
        <v>81</v>
      </c>
      <c r="F35" s="8" t="n">
        <v>4</v>
      </c>
      <c r="G35" s="31" t="n">
        <v>95</v>
      </c>
      <c r="H35" s="5" t="s">
        <v>608</v>
      </c>
    </row>
    <row r="36" customFormat="false" ht="15" hidden="false" customHeight="true" outlineLevel="0" collapsed="false">
      <c r="A36" s="8" t="n">
        <v>3</v>
      </c>
      <c r="B36" s="46" t="s">
        <v>533</v>
      </c>
      <c r="C36" s="5" t="s">
        <v>534</v>
      </c>
      <c r="D36" s="5" t="s">
        <v>535</v>
      </c>
      <c r="E36" s="5" t="s">
        <v>81</v>
      </c>
      <c r="F36" s="8" t="n">
        <v>1</v>
      </c>
      <c r="G36" s="31" t="n">
        <v>95</v>
      </c>
      <c r="H36" s="5" t="s">
        <v>540</v>
      </c>
    </row>
    <row r="37" customFormat="false" ht="15" hidden="false" customHeight="true" outlineLevel="0" collapsed="false">
      <c r="A37" s="8" t="n">
        <v>4</v>
      </c>
      <c r="B37" s="46" t="s">
        <v>42</v>
      </c>
      <c r="C37" s="5" t="s">
        <v>43</v>
      </c>
      <c r="D37" s="5" t="s">
        <v>44</v>
      </c>
      <c r="E37" s="5" t="s">
        <v>24</v>
      </c>
      <c r="F37" s="8" t="n">
        <v>5</v>
      </c>
      <c r="G37" s="31" t="n">
        <v>88</v>
      </c>
      <c r="H37" s="5" t="s">
        <v>609</v>
      </c>
    </row>
    <row r="38" customFormat="false" ht="15" hidden="false" customHeight="true" outlineLevel="0" collapsed="false">
      <c r="A38" s="8" t="n">
        <v>5</v>
      </c>
      <c r="B38" s="46" t="s">
        <v>187</v>
      </c>
      <c r="C38" s="5" t="s">
        <v>188</v>
      </c>
      <c r="D38" s="5" t="s">
        <v>44</v>
      </c>
      <c r="E38" s="5" t="s">
        <v>24</v>
      </c>
      <c r="F38" s="8" t="n">
        <v>3</v>
      </c>
      <c r="G38" s="31" t="n">
        <v>88</v>
      </c>
      <c r="H38" s="5" t="s">
        <v>609</v>
      </c>
    </row>
    <row r="39" customFormat="false" ht="15" hidden="false" customHeight="true" outlineLevel="0" collapsed="false">
      <c r="A39" s="8" t="n">
        <v>6</v>
      </c>
      <c r="B39" s="46" t="s">
        <v>49</v>
      </c>
      <c r="C39" s="5" t="s">
        <v>50</v>
      </c>
      <c r="D39" s="5" t="s">
        <v>51</v>
      </c>
      <c r="E39" s="5" t="s">
        <v>52</v>
      </c>
      <c r="F39" s="8" t="n">
        <v>12</v>
      </c>
      <c r="G39" s="31" t="n">
        <v>80</v>
      </c>
      <c r="H39" s="5" t="s">
        <v>610</v>
      </c>
    </row>
    <row r="40" customFormat="false" ht="15" hidden="false" customHeight="true" outlineLevel="0" collapsed="false">
      <c r="A40" s="8" t="n">
        <v>7</v>
      </c>
      <c r="B40" s="46" t="s">
        <v>78</v>
      </c>
      <c r="C40" s="5" t="s">
        <v>79</v>
      </c>
      <c r="D40" s="5" t="s">
        <v>80</v>
      </c>
      <c r="E40" s="5" t="s">
        <v>81</v>
      </c>
      <c r="F40" s="8" t="n">
        <v>4</v>
      </c>
      <c r="G40" s="31" t="n">
        <v>80</v>
      </c>
      <c r="H40" s="5" t="s">
        <v>611</v>
      </c>
    </row>
    <row r="41" customFormat="false" ht="15" hidden="false" customHeight="true" outlineLevel="0" collapsed="false">
      <c r="A41" s="8" t="n">
        <v>8</v>
      </c>
      <c r="B41" s="46" t="s">
        <v>108</v>
      </c>
      <c r="C41" s="5" t="s">
        <v>109</v>
      </c>
      <c r="D41" s="5" t="s">
        <v>110</v>
      </c>
      <c r="E41" s="5" t="s">
        <v>37</v>
      </c>
      <c r="F41" s="8" t="n">
        <v>13</v>
      </c>
      <c r="G41" s="31" t="n">
        <v>80</v>
      </c>
      <c r="H41" s="5" t="s">
        <v>612</v>
      </c>
    </row>
    <row r="42" customFormat="false" ht="15" hidden="false" customHeight="true" outlineLevel="0" collapsed="false">
      <c r="A42" s="8" t="n">
        <v>9</v>
      </c>
      <c r="B42" s="46" t="s">
        <v>21</v>
      </c>
      <c r="C42" s="5" t="s">
        <v>22</v>
      </c>
      <c r="D42" s="5" t="s">
        <v>23</v>
      </c>
      <c r="E42" s="5" t="s">
        <v>24</v>
      </c>
      <c r="F42" s="8" t="n">
        <v>9</v>
      </c>
      <c r="G42" s="31" t="n">
        <v>80</v>
      </c>
      <c r="H42" s="5" t="s">
        <v>613</v>
      </c>
    </row>
    <row r="43" customFormat="false" ht="15" hidden="false" customHeight="true" outlineLevel="0" collapsed="false">
      <c r="A43" s="8" t="n">
        <v>10</v>
      </c>
      <c r="B43" s="46" t="s">
        <v>159</v>
      </c>
      <c r="C43" s="5" t="s">
        <v>160</v>
      </c>
      <c r="D43" s="5" t="s">
        <v>110</v>
      </c>
      <c r="E43" s="5" t="s">
        <v>37</v>
      </c>
      <c r="F43" s="8" t="n">
        <v>10</v>
      </c>
      <c r="G43" s="31" t="n">
        <v>80</v>
      </c>
      <c r="H43" s="5" t="s">
        <v>614</v>
      </c>
    </row>
    <row r="46" customFormat="false" ht="15.75" hidden="false" customHeight="true" outlineLevel="0" collapsed="false">
      <c r="A46" s="41" t="s">
        <v>615</v>
      </c>
      <c r="B46" s="41"/>
      <c r="C46" s="41"/>
      <c r="D46" s="41"/>
      <c r="E46" s="41"/>
      <c r="F46" s="41"/>
      <c r="G46" s="41"/>
      <c r="H46" s="41"/>
    </row>
    <row r="47" customFormat="false" ht="15" hidden="false" customHeight="false" outlineLevel="0" collapsed="false">
      <c r="A47" s="2" t="s">
        <v>616</v>
      </c>
      <c r="B47" s="2" t="s">
        <v>17</v>
      </c>
      <c r="C47" s="2" t="s">
        <v>617</v>
      </c>
      <c r="D47" s="2" t="s">
        <v>618</v>
      </c>
      <c r="E47" s="2" t="s">
        <v>569</v>
      </c>
      <c r="F47" s="2"/>
      <c r="G47" s="2"/>
      <c r="H47" s="2"/>
    </row>
    <row r="48" customFormat="false" ht="45" hidden="false" customHeight="true" outlineLevel="0" collapsed="false">
      <c r="A48" s="8" t="s">
        <v>619</v>
      </c>
      <c r="B48" s="31" t="s">
        <v>155</v>
      </c>
      <c r="C48" s="42" t="s">
        <v>620</v>
      </c>
      <c r="D48" s="47" t="s">
        <v>621</v>
      </c>
      <c r="E48" s="48" t="s">
        <v>622</v>
      </c>
      <c r="F48" s="5"/>
      <c r="G48" s="5"/>
      <c r="H48" s="5"/>
    </row>
    <row r="49" customFormat="false" ht="45" hidden="false" customHeight="true" outlineLevel="0" collapsed="false">
      <c r="A49" s="8" t="s">
        <v>623</v>
      </c>
      <c r="B49" s="31" t="s">
        <v>155</v>
      </c>
      <c r="C49" s="42" t="s">
        <v>624</v>
      </c>
      <c r="D49" s="47" t="s">
        <v>625</v>
      </c>
      <c r="E49" s="48" t="s">
        <v>626</v>
      </c>
      <c r="F49" s="5"/>
      <c r="G49" s="5"/>
      <c r="H49" s="5"/>
    </row>
    <row r="50" customFormat="false" ht="45" hidden="false" customHeight="true" outlineLevel="0" collapsed="false">
      <c r="A50" s="8" t="s">
        <v>627</v>
      </c>
      <c r="B50" s="31" t="s">
        <v>155</v>
      </c>
      <c r="C50" s="42" t="s">
        <v>628</v>
      </c>
      <c r="D50" s="47" t="s">
        <v>629</v>
      </c>
      <c r="E50" s="48" t="s">
        <v>630</v>
      </c>
      <c r="F50" s="5"/>
      <c r="G50" s="5"/>
      <c r="H50" s="5"/>
    </row>
    <row r="51" customFormat="false" ht="45" hidden="false" customHeight="true" outlineLevel="0" collapsed="false">
      <c r="A51" s="8" t="s">
        <v>631</v>
      </c>
      <c r="B51" s="23" t="s">
        <v>58</v>
      </c>
      <c r="C51" s="42" t="s">
        <v>632</v>
      </c>
      <c r="D51" s="47" t="s">
        <v>633</v>
      </c>
      <c r="E51" s="48" t="s">
        <v>634</v>
      </c>
      <c r="F51" s="5"/>
      <c r="G51" s="5"/>
      <c r="H51" s="5"/>
    </row>
    <row r="52" customFormat="false" ht="45" hidden="false" customHeight="true" outlineLevel="0" collapsed="false">
      <c r="A52" s="8" t="s">
        <v>635</v>
      </c>
      <c r="B52" s="23" t="s">
        <v>58</v>
      </c>
      <c r="C52" s="42" t="s">
        <v>636</v>
      </c>
      <c r="D52" s="47" t="s">
        <v>637</v>
      </c>
      <c r="E52" s="48" t="s">
        <v>638</v>
      </c>
      <c r="F52" s="5"/>
      <c r="G52" s="5"/>
      <c r="H52" s="5"/>
    </row>
    <row r="53" customFormat="false" ht="45" hidden="false" customHeight="true" outlineLevel="0" collapsed="false">
      <c r="A53" s="8" t="s">
        <v>639</v>
      </c>
      <c r="B53" s="23" t="s">
        <v>58</v>
      </c>
      <c r="C53" s="42" t="s">
        <v>640</v>
      </c>
      <c r="D53" s="47" t="s">
        <v>641</v>
      </c>
      <c r="E53" s="48" t="s">
        <v>642</v>
      </c>
      <c r="F53" s="5"/>
      <c r="G53" s="5"/>
      <c r="H53" s="5"/>
    </row>
  </sheetData>
  <mergeCells count="5">
    <mergeCell ref="A1:H1"/>
    <mergeCell ref="A3:H3"/>
    <mergeCell ref="A15:H15"/>
    <mergeCell ref="A32:H32"/>
    <mergeCell ref="A46:H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4"/>
    <col collapsed="false" customWidth="true" hidden="false" outlineLevel="0" max="4" min="4" style="0" width="14"/>
    <col collapsed="false" customWidth="true" hidden="false" outlineLevel="0" max="5" min="5" style="0" width="16"/>
    <col collapsed="false" customWidth="true" hidden="false" outlineLevel="0" max="6" min="6" style="0" width="13"/>
    <col collapsed="false" customWidth="true" hidden="false" outlineLevel="0" max="7" min="7" style="0" width="14"/>
    <col collapsed="false" customWidth="true" hidden="false" outlineLevel="0" max="8" min="8" style="0" width="16"/>
    <col collapsed="false" customWidth="true" hidden="false" outlineLevel="0" max="9" min="9" style="0" width="20"/>
    <col collapsed="false" customWidth="true" hidden="false" outlineLevel="0" max="10" min="10" style="0" width="42"/>
  </cols>
  <sheetData>
    <row r="1" customFormat="false" ht="25.5" hidden="false" customHeight="true" outlineLevel="0" collapsed="false">
      <c r="A1" s="49" t="s">
        <v>643</v>
      </c>
      <c r="B1" s="49"/>
      <c r="C1" s="49"/>
      <c r="D1" s="49"/>
      <c r="E1" s="49"/>
      <c r="F1" s="49"/>
      <c r="G1" s="49"/>
      <c r="H1" s="49"/>
      <c r="I1" s="49"/>
      <c r="J1" s="49"/>
    </row>
    <row r="2" customFormat="false" ht="30" hidden="false" customHeight="true" outlineLevel="0" collapsed="false">
      <c r="A2" s="50" t="s">
        <v>3</v>
      </c>
      <c r="B2" s="50" t="s">
        <v>4</v>
      </c>
      <c r="C2" s="50" t="s">
        <v>5</v>
      </c>
      <c r="D2" s="50" t="s">
        <v>6</v>
      </c>
      <c r="E2" s="50" t="s">
        <v>644</v>
      </c>
      <c r="F2" s="50" t="s">
        <v>645</v>
      </c>
      <c r="G2" s="50" t="s">
        <v>646</v>
      </c>
      <c r="H2" s="50" t="s">
        <v>647</v>
      </c>
      <c r="I2" s="50" t="s">
        <v>648</v>
      </c>
      <c r="J2" s="50" t="s">
        <v>18</v>
      </c>
    </row>
    <row r="3" customFormat="false" ht="42" hidden="false" customHeight="true" outlineLevel="0" collapsed="false">
      <c r="A3" s="51" t="s">
        <v>78</v>
      </c>
      <c r="B3" s="52" t="s">
        <v>79</v>
      </c>
      <c r="C3" s="52" t="s">
        <v>80</v>
      </c>
      <c r="D3" s="52" t="s">
        <v>81</v>
      </c>
      <c r="E3" s="52" t="s">
        <v>649</v>
      </c>
      <c r="F3" s="53" t="s">
        <v>650</v>
      </c>
      <c r="G3" s="52" t="s">
        <v>651</v>
      </c>
      <c r="H3" s="54" t="s">
        <v>652</v>
      </c>
      <c r="I3" s="55" t="s">
        <v>653</v>
      </c>
      <c r="J3" s="56" t="s">
        <v>654</v>
      </c>
    </row>
    <row r="4" customFormat="false" ht="18" hidden="false" customHeight="true" outlineLevel="0" collapsed="false">
      <c r="A4" s="51" t="s">
        <v>90</v>
      </c>
      <c r="B4" s="57" t="s">
        <v>91</v>
      </c>
      <c r="C4" s="57" t="s">
        <v>92</v>
      </c>
      <c r="D4" s="57" t="s">
        <v>81</v>
      </c>
      <c r="E4" s="57" t="s">
        <v>655</v>
      </c>
      <c r="F4" s="53" t="s">
        <v>650</v>
      </c>
      <c r="G4" s="57" t="s">
        <v>656</v>
      </c>
      <c r="H4" s="54" t="s">
        <v>652</v>
      </c>
      <c r="I4" s="53" t="s">
        <v>657</v>
      </c>
      <c r="J4" s="58"/>
    </row>
    <row r="5" customFormat="false" ht="42" hidden="false" customHeight="true" outlineLevel="0" collapsed="false">
      <c r="A5" s="51" t="s">
        <v>242</v>
      </c>
      <c r="B5" s="52" t="s">
        <v>243</v>
      </c>
      <c r="C5" s="52" t="s">
        <v>244</v>
      </c>
      <c r="D5" s="52" t="s">
        <v>81</v>
      </c>
      <c r="E5" s="52" t="s">
        <v>658</v>
      </c>
      <c r="F5" s="53" t="s">
        <v>650</v>
      </c>
      <c r="G5" s="52" t="s">
        <v>659</v>
      </c>
      <c r="H5" s="54" t="s">
        <v>652</v>
      </c>
      <c r="I5" s="53" t="s">
        <v>657</v>
      </c>
      <c r="J5" s="56" t="s">
        <v>660</v>
      </c>
    </row>
    <row r="6" customFormat="false" ht="42" hidden="false" customHeight="true" outlineLevel="0" collapsed="false">
      <c r="A6" s="51" t="s">
        <v>336</v>
      </c>
      <c r="B6" s="57" t="s">
        <v>337</v>
      </c>
      <c r="C6" s="57" t="s">
        <v>80</v>
      </c>
      <c r="D6" s="57" t="s">
        <v>81</v>
      </c>
      <c r="E6" s="57" t="s">
        <v>649</v>
      </c>
      <c r="F6" s="53" t="s">
        <v>650</v>
      </c>
      <c r="G6" s="57" t="s">
        <v>661</v>
      </c>
      <c r="H6" s="54" t="s">
        <v>652</v>
      </c>
      <c r="I6" s="55" t="s">
        <v>653</v>
      </c>
      <c r="J6" s="58" t="s">
        <v>662</v>
      </c>
    </row>
    <row r="7" customFormat="false" ht="42" hidden="false" customHeight="true" outlineLevel="0" collapsed="false">
      <c r="A7" s="51" t="s">
        <v>195</v>
      </c>
      <c r="B7" s="52" t="s">
        <v>196</v>
      </c>
      <c r="C7" s="52" t="s">
        <v>92</v>
      </c>
      <c r="D7" s="52" t="s">
        <v>81</v>
      </c>
      <c r="E7" s="52" t="s">
        <v>655</v>
      </c>
      <c r="F7" s="59" t="s">
        <v>663</v>
      </c>
      <c r="G7" s="52" t="s">
        <v>664</v>
      </c>
      <c r="H7" s="54" t="s">
        <v>652</v>
      </c>
      <c r="I7" s="60" t="s">
        <v>170</v>
      </c>
      <c r="J7" s="56" t="s">
        <v>665</v>
      </c>
    </row>
    <row r="8" customFormat="false" ht="42" hidden="false" customHeight="true" outlineLevel="0" collapsed="false">
      <c r="A8" s="51" t="s">
        <v>143</v>
      </c>
      <c r="B8" s="57" t="s">
        <v>144</v>
      </c>
      <c r="C8" s="57" t="s">
        <v>145</v>
      </c>
      <c r="D8" s="57" t="s">
        <v>81</v>
      </c>
      <c r="E8" s="57" t="s">
        <v>666</v>
      </c>
      <c r="F8" s="53" t="s">
        <v>650</v>
      </c>
      <c r="G8" s="57" t="s">
        <v>656</v>
      </c>
      <c r="H8" s="54" t="s">
        <v>652</v>
      </c>
      <c r="I8" s="53" t="s">
        <v>657</v>
      </c>
      <c r="J8" s="58" t="s">
        <v>667</v>
      </c>
    </row>
    <row r="9" customFormat="false" ht="42" hidden="false" customHeight="true" outlineLevel="0" collapsed="false">
      <c r="A9" s="51" t="s">
        <v>668</v>
      </c>
      <c r="B9" s="52" t="s">
        <v>669</v>
      </c>
      <c r="C9" s="52" t="s">
        <v>80</v>
      </c>
      <c r="D9" s="52" t="s">
        <v>81</v>
      </c>
      <c r="E9" s="52" t="s">
        <v>649</v>
      </c>
      <c r="F9" s="53" t="s">
        <v>650</v>
      </c>
      <c r="G9" s="52" t="s">
        <v>670</v>
      </c>
      <c r="H9" s="54" t="s">
        <v>652</v>
      </c>
      <c r="I9" s="61" t="s">
        <v>671</v>
      </c>
      <c r="J9" s="56" t="s">
        <v>672</v>
      </c>
    </row>
    <row r="10" customFormat="false" ht="42" hidden="false" customHeight="true" outlineLevel="0" collapsed="false">
      <c r="A10" s="51" t="s">
        <v>103</v>
      </c>
      <c r="B10" s="57" t="s">
        <v>104</v>
      </c>
      <c r="C10" s="57" t="s">
        <v>80</v>
      </c>
      <c r="D10" s="57" t="s">
        <v>81</v>
      </c>
      <c r="E10" s="57" t="s">
        <v>649</v>
      </c>
      <c r="F10" s="53" t="s">
        <v>650</v>
      </c>
      <c r="G10" s="57" t="s">
        <v>673</v>
      </c>
      <c r="H10" s="54" t="s">
        <v>652</v>
      </c>
      <c r="I10" s="55" t="s">
        <v>653</v>
      </c>
      <c r="J10" s="58" t="s">
        <v>674</v>
      </c>
    </row>
    <row r="11" customFormat="false" ht="18" hidden="false" customHeight="true" outlineLevel="0" collapsed="false">
      <c r="A11" s="51" t="s">
        <v>675</v>
      </c>
      <c r="B11" s="52" t="s">
        <v>676</v>
      </c>
      <c r="C11" s="52" t="s">
        <v>92</v>
      </c>
      <c r="D11" s="52" t="s">
        <v>81</v>
      </c>
      <c r="E11" s="52" t="s">
        <v>655</v>
      </c>
      <c r="F11" s="53" t="s">
        <v>650</v>
      </c>
      <c r="G11" s="52" t="s">
        <v>651</v>
      </c>
      <c r="H11" s="54" t="s">
        <v>652</v>
      </c>
      <c r="I11" s="53" t="s">
        <v>657</v>
      </c>
      <c r="J11" s="56"/>
    </row>
    <row r="12" customFormat="false" ht="18" hidden="false" customHeight="true" outlineLevel="0" collapsed="false">
      <c r="A12" s="51" t="s">
        <v>677</v>
      </c>
      <c r="B12" s="57" t="s">
        <v>678</v>
      </c>
      <c r="C12" s="57" t="s">
        <v>244</v>
      </c>
      <c r="D12" s="57" t="s">
        <v>81</v>
      </c>
      <c r="E12" s="57" t="s">
        <v>658</v>
      </c>
      <c r="F12" s="53" t="s">
        <v>650</v>
      </c>
      <c r="G12" s="57" t="s">
        <v>679</v>
      </c>
      <c r="H12" s="54" t="s">
        <v>652</v>
      </c>
      <c r="I12" s="53" t="s">
        <v>657</v>
      </c>
      <c r="J12" s="58"/>
    </row>
    <row r="13" customFormat="false" ht="42" hidden="false" customHeight="true" outlineLevel="0" collapsed="false">
      <c r="A13" s="51" t="s">
        <v>159</v>
      </c>
      <c r="B13" s="52" t="s">
        <v>160</v>
      </c>
      <c r="C13" s="52" t="s">
        <v>110</v>
      </c>
      <c r="D13" s="52" t="s">
        <v>37</v>
      </c>
      <c r="E13" s="52" t="s">
        <v>680</v>
      </c>
      <c r="F13" s="53" t="s">
        <v>650</v>
      </c>
      <c r="G13" s="52" t="s">
        <v>656</v>
      </c>
      <c r="H13" s="54" t="s">
        <v>652</v>
      </c>
      <c r="I13" s="53" t="s">
        <v>657</v>
      </c>
      <c r="J13" s="56" t="s">
        <v>681</v>
      </c>
    </row>
    <row r="14" customFormat="false" ht="18" hidden="false" customHeight="true" outlineLevel="0" collapsed="false">
      <c r="A14" s="51" t="s">
        <v>682</v>
      </c>
      <c r="B14" s="57" t="s">
        <v>683</v>
      </c>
      <c r="C14" s="57" t="s">
        <v>36</v>
      </c>
      <c r="D14" s="57" t="s">
        <v>37</v>
      </c>
      <c r="E14" s="57" t="s">
        <v>684</v>
      </c>
      <c r="F14" s="53" t="s">
        <v>650</v>
      </c>
      <c r="G14" s="57" t="s">
        <v>651</v>
      </c>
      <c r="H14" s="54" t="s">
        <v>652</v>
      </c>
      <c r="I14" s="53" t="s">
        <v>657</v>
      </c>
      <c r="J14" s="58"/>
    </row>
    <row r="15" customFormat="false" ht="42" hidden="false" customHeight="true" outlineLevel="0" collapsed="false">
      <c r="A15" s="51" t="s">
        <v>34</v>
      </c>
      <c r="B15" s="52" t="s">
        <v>35</v>
      </c>
      <c r="C15" s="52" t="s">
        <v>36</v>
      </c>
      <c r="D15" s="52" t="s">
        <v>37</v>
      </c>
      <c r="E15" s="52" t="s">
        <v>684</v>
      </c>
      <c r="F15" s="53" t="s">
        <v>650</v>
      </c>
      <c r="G15" s="52" t="s">
        <v>685</v>
      </c>
      <c r="H15" s="54" t="s">
        <v>652</v>
      </c>
      <c r="I15" s="55" t="s">
        <v>686</v>
      </c>
      <c r="J15" s="56" t="s">
        <v>687</v>
      </c>
    </row>
    <row r="16" customFormat="false" ht="18" hidden="false" customHeight="true" outlineLevel="0" collapsed="false">
      <c r="A16" s="51" t="s">
        <v>688</v>
      </c>
      <c r="B16" s="57" t="s">
        <v>689</v>
      </c>
      <c r="C16" s="57" t="s">
        <v>36</v>
      </c>
      <c r="D16" s="57" t="s">
        <v>37</v>
      </c>
      <c r="E16" s="57" t="s">
        <v>684</v>
      </c>
      <c r="F16" s="53" t="s">
        <v>650</v>
      </c>
      <c r="G16" s="57" t="s">
        <v>690</v>
      </c>
      <c r="H16" s="54" t="s">
        <v>652</v>
      </c>
      <c r="I16" s="53" t="s">
        <v>657</v>
      </c>
      <c r="J16" s="58"/>
    </row>
    <row r="17" customFormat="false" ht="42" hidden="false" customHeight="true" outlineLevel="0" collapsed="false">
      <c r="A17" s="51" t="s">
        <v>108</v>
      </c>
      <c r="B17" s="52" t="s">
        <v>109</v>
      </c>
      <c r="C17" s="52" t="s">
        <v>110</v>
      </c>
      <c r="D17" s="52" t="s">
        <v>37</v>
      </c>
      <c r="E17" s="52" t="s">
        <v>680</v>
      </c>
      <c r="F17" s="59" t="s">
        <v>663</v>
      </c>
      <c r="G17" s="52" t="s">
        <v>659</v>
      </c>
      <c r="H17" s="54" t="s">
        <v>652</v>
      </c>
      <c r="I17" s="59" t="s">
        <v>691</v>
      </c>
      <c r="J17" s="56" t="s">
        <v>692</v>
      </c>
    </row>
    <row r="18" customFormat="false" ht="18" hidden="false" customHeight="true" outlineLevel="0" collapsed="false">
      <c r="A18" s="51" t="s">
        <v>71</v>
      </c>
      <c r="B18" s="57" t="s">
        <v>72</v>
      </c>
      <c r="C18" s="57" t="s">
        <v>73</v>
      </c>
      <c r="D18" s="57" t="s">
        <v>74</v>
      </c>
      <c r="E18" s="57" t="s">
        <v>693</v>
      </c>
      <c r="F18" s="53" t="s">
        <v>650</v>
      </c>
      <c r="G18" s="57" t="s">
        <v>673</v>
      </c>
      <c r="H18" s="54" t="s">
        <v>652</v>
      </c>
      <c r="I18" s="53" t="s">
        <v>657</v>
      </c>
      <c r="J18" s="58"/>
    </row>
    <row r="19" customFormat="false" ht="42" hidden="false" customHeight="true" outlineLevel="0" collapsed="false">
      <c r="A19" s="51" t="s">
        <v>252</v>
      </c>
      <c r="B19" s="52" t="s">
        <v>253</v>
      </c>
      <c r="C19" s="52" t="s">
        <v>73</v>
      </c>
      <c r="D19" s="52" t="s">
        <v>74</v>
      </c>
      <c r="E19" s="52" t="s">
        <v>693</v>
      </c>
      <c r="F19" s="59" t="s">
        <v>663</v>
      </c>
      <c r="G19" s="52" t="s">
        <v>694</v>
      </c>
      <c r="H19" s="54" t="s">
        <v>652</v>
      </c>
      <c r="I19" s="60" t="s">
        <v>170</v>
      </c>
      <c r="J19" s="56" t="s">
        <v>695</v>
      </c>
    </row>
    <row r="20" customFormat="false" ht="42" hidden="false" customHeight="true" outlineLevel="0" collapsed="false">
      <c r="A20" s="51" t="s">
        <v>696</v>
      </c>
      <c r="B20" s="57" t="s">
        <v>697</v>
      </c>
      <c r="C20" s="57" t="s">
        <v>73</v>
      </c>
      <c r="D20" s="57" t="s">
        <v>74</v>
      </c>
      <c r="E20" s="57" t="s">
        <v>693</v>
      </c>
      <c r="F20" s="53" t="s">
        <v>650</v>
      </c>
      <c r="G20" s="57" t="s">
        <v>698</v>
      </c>
      <c r="H20" s="54" t="s">
        <v>652</v>
      </c>
      <c r="I20" s="61" t="s">
        <v>671</v>
      </c>
      <c r="J20" s="58" t="s">
        <v>699</v>
      </c>
    </row>
    <row r="21" customFormat="false" ht="18" hidden="false" customHeight="true" outlineLevel="0" collapsed="false">
      <c r="A21" s="51" t="s">
        <v>700</v>
      </c>
      <c r="B21" s="52" t="s">
        <v>701</v>
      </c>
      <c r="C21" s="52" t="s">
        <v>73</v>
      </c>
      <c r="D21" s="52" t="s">
        <v>74</v>
      </c>
      <c r="E21" s="52" t="s">
        <v>693</v>
      </c>
      <c r="F21" s="53" t="s">
        <v>650</v>
      </c>
      <c r="G21" s="52" t="s">
        <v>702</v>
      </c>
      <c r="H21" s="54" t="s">
        <v>652</v>
      </c>
      <c r="I21" s="53" t="s">
        <v>657</v>
      </c>
      <c r="J21" s="56"/>
    </row>
    <row r="22" customFormat="false" ht="42" hidden="false" customHeight="true" outlineLevel="0" collapsed="false">
      <c r="A22" s="51" t="s">
        <v>21</v>
      </c>
      <c r="B22" s="57" t="s">
        <v>22</v>
      </c>
      <c r="C22" s="57" t="s">
        <v>23</v>
      </c>
      <c r="D22" s="57" t="s">
        <v>24</v>
      </c>
      <c r="E22" s="57" t="s">
        <v>703</v>
      </c>
      <c r="F22" s="53" t="s">
        <v>650</v>
      </c>
      <c r="G22" s="57" t="s">
        <v>656</v>
      </c>
      <c r="H22" s="54" t="s">
        <v>652</v>
      </c>
      <c r="I22" s="53" t="s">
        <v>657</v>
      </c>
      <c r="J22" s="58" t="s">
        <v>704</v>
      </c>
    </row>
    <row r="23" customFormat="false" ht="18" hidden="false" customHeight="true" outlineLevel="0" collapsed="false">
      <c r="A23" s="51" t="s">
        <v>121</v>
      </c>
      <c r="B23" s="52" t="s">
        <v>122</v>
      </c>
      <c r="C23" s="52" t="s">
        <v>123</v>
      </c>
      <c r="D23" s="52" t="s">
        <v>24</v>
      </c>
      <c r="E23" s="52" t="s">
        <v>705</v>
      </c>
      <c r="F23" s="53" t="s">
        <v>650</v>
      </c>
      <c r="G23" s="52" t="s">
        <v>651</v>
      </c>
      <c r="H23" s="54" t="s">
        <v>652</v>
      </c>
      <c r="I23" s="53" t="s">
        <v>657</v>
      </c>
      <c r="J23" s="56"/>
    </row>
    <row r="24" customFormat="false" ht="42" hidden="false" customHeight="true" outlineLevel="0" collapsed="false">
      <c r="A24" s="51" t="s">
        <v>214</v>
      </c>
      <c r="B24" s="57" t="s">
        <v>215</v>
      </c>
      <c r="C24" s="57" t="s">
        <v>216</v>
      </c>
      <c r="D24" s="57" t="s">
        <v>24</v>
      </c>
      <c r="E24" s="57" t="s">
        <v>706</v>
      </c>
      <c r="F24" s="59" t="s">
        <v>663</v>
      </c>
      <c r="G24" s="57" t="s">
        <v>664</v>
      </c>
      <c r="H24" s="54" t="s">
        <v>652</v>
      </c>
      <c r="I24" s="60" t="s">
        <v>170</v>
      </c>
      <c r="J24" s="58" t="s">
        <v>707</v>
      </c>
    </row>
    <row r="25" customFormat="false" ht="42" hidden="false" customHeight="true" outlineLevel="0" collapsed="false">
      <c r="A25" s="51" t="s">
        <v>708</v>
      </c>
      <c r="B25" s="52" t="s">
        <v>709</v>
      </c>
      <c r="C25" s="52" t="s">
        <v>216</v>
      </c>
      <c r="D25" s="52" t="s">
        <v>24</v>
      </c>
      <c r="E25" s="52" t="s">
        <v>706</v>
      </c>
      <c r="F25" s="59" t="s">
        <v>663</v>
      </c>
      <c r="G25" s="52" t="s">
        <v>710</v>
      </c>
      <c r="H25" s="54" t="s">
        <v>652</v>
      </c>
      <c r="I25" s="60" t="s">
        <v>170</v>
      </c>
      <c r="J25" s="56" t="s">
        <v>711</v>
      </c>
    </row>
    <row r="26" customFormat="false" ht="18" hidden="false" customHeight="true" outlineLevel="0" collapsed="false">
      <c r="A26" s="51" t="s">
        <v>712</v>
      </c>
      <c r="B26" s="57" t="s">
        <v>713</v>
      </c>
      <c r="C26" s="57" t="s">
        <v>123</v>
      </c>
      <c r="D26" s="57" t="s">
        <v>24</v>
      </c>
      <c r="E26" s="57" t="s">
        <v>705</v>
      </c>
      <c r="F26" s="53" t="s">
        <v>650</v>
      </c>
      <c r="G26" s="57" t="s">
        <v>659</v>
      </c>
      <c r="H26" s="54" t="s">
        <v>652</v>
      </c>
      <c r="I26" s="53" t="s">
        <v>657</v>
      </c>
      <c r="J26" s="58"/>
    </row>
    <row r="27" customFormat="false" ht="42" hidden="false" customHeight="true" outlineLevel="0" collapsed="false">
      <c r="A27" s="51" t="s">
        <v>714</v>
      </c>
      <c r="B27" s="52" t="s">
        <v>715</v>
      </c>
      <c r="C27" s="52" t="s">
        <v>216</v>
      </c>
      <c r="D27" s="52" t="s">
        <v>24</v>
      </c>
      <c r="E27" s="52" t="s">
        <v>706</v>
      </c>
      <c r="F27" s="53" t="s">
        <v>650</v>
      </c>
      <c r="G27" s="52" t="s">
        <v>716</v>
      </c>
      <c r="H27" s="54" t="s">
        <v>652</v>
      </c>
      <c r="I27" s="61" t="s">
        <v>671</v>
      </c>
      <c r="J27" s="56" t="s">
        <v>717</v>
      </c>
    </row>
    <row r="28" customFormat="false" ht="42" hidden="false" customHeight="true" outlineLevel="0" collapsed="false">
      <c r="A28" s="51" t="s">
        <v>210</v>
      </c>
      <c r="B28" s="57" t="s">
        <v>211</v>
      </c>
      <c r="C28" s="57" t="s">
        <v>123</v>
      </c>
      <c r="D28" s="57" t="s">
        <v>24</v>
      </c>
      <c r="E28" s="57" t="s">
        <v>705</v>
      </c>
      <c r="F28" s="59" t="s">
        <v>663</v>
      </c>
      <c r="G28" s="57" t="s">
        <v>690</v>
      </c>
      <c r="H28" s="54" t="s">
        <v>652</v>
      </c>
      <c r="I28" s="60" t="s">
        <v>170</v>
      </c>
      <c r="J28" s="58" t="s">
        <v>718</v>
      </c>
    </row>
    <row r="29" customFormat="false" ht="42" hidden="false" customHeight="true" outlineLevel="0" collapsed="false">
      <c r="A29" s="51" t="s">
        <v>62</v>
      </c>
      <c r="B29" s="52" t="s">
        <v>63</v>
      </c>
      <c r="C29" s="52" t="s">
        <v>64</v>
      </c>
      <c r="D29" s="52" t="s">
        <v>52</v>
      </c>
      <c r="E29" s="52" t="s">
        <v>719</v>
      </c>
      <c r="F29" s="53" t="s">
        <v>650</v>
      </c>
      <c r="G29" s="52" t="s">
        <v>656</v>
      </c>
      <c r="H29" s="54" t="s">
        <v>652</v>
      </c>
      <c r="I29" s="53" t="s">
        <v>657</v>
      </c>
      <c r="J29" s="56" t="s">
        <v>720</v>
      </c>
    </row>
    <row r="30" customFormat="false" ht="42" hidden="false" customHeight="true" outlineLevel="0" collapsed="false">
      <c r="A30" s="51" t="s">
        <v>721</v>
      </c>
      <c r="B30" s="57" t="s">
        <v>722</v>
      </c>
      <c r="C30" s="57" t="s">
        <v>64</v>
      </c>
      <c r="D30" s="57" t="s">
        <v>52</v>
      </c>
      <c r="E30" s="57" t="s">
        <v>719</v>
      </c>
      <c r="F30" s="53" t="s">
        <v>650</v>
      </c>
      <c r="G30" s="57" t="s">
        <v>651</v>
      </c>
      <c r="H30" s="54" t="s">
        <v>652</v>
      </c>
      <c r="I30" s="53" t="s">
        <v>657</v>
      </c>
      <c r="J30" s="58" t="s">
        <v>723</v>
      </c>
    </row>
    <row r="31" customFormat="false" ht="42" hidden="false" customHeight="true" outlineLevel="0" collapsed="false">
      <c r="A31" s="51" t="s">
        <v>49</v>
      </c>
      <c r="B31" s="52" t="s">
        <v>50</v>
      </c>
      <c r="C31" s="52" t="s">
        <v>51</v>
      </c>
      <c r="D31" s="52" t="s">
        <v>52</v>
      </c>
      <c r="E31" s="52" t="s">
        <v>724</v>
      </c>
      <c r="F31" s="53" t="s">
        <v>650</v>
      </c>
      <c r="G31" s="52" t="s">
        <v>656</v>
      </c>
      <c r="H31" s="54" t="s">
        <v>652</v>
      </c>
      <c r="I31" s="53" t="s">
        <v>657</v>
      </c>
      <c r="J31" s="56" t="s">
        <v>725</v>
      </c>
    </row>
    <row r="32" customFormat="false" ht="42" hidden="false" customHeight="true" outlineLevel="0" collapsed="false">
      <c r="A32" s="51" t="s">
        <v>533</v>
      </c>
      <c r="B32" s="57" t="s">
        <v>534</v>
      </c>
      <c r="C32" s="57" t="s">
        <v>535</v>
      </c>
      <c r="D32" s="57" t="s">
        <v>81</v>
      </c>
      <c r="E32" s="57" t="s">
        <v>726</v>
      </c>
      <c r="F32" s="62" t="s">
        <v>282</v>
      </c>
      <c r="G32" s="57" t="s">
        <v>656</v>
      </c>
      <c r="H32" s="54" t="s">
        <v>652</v>
      </c>
      <c r="I32" s="55" t="s">
        <v>727</v>
      </c>
      <c r="J32" s="58" t="s">
        <v>728</v>
      </c>
    </row>
    <row r="33" customFormat="false" ht="42" hidden="false" customHeight="true" outlineLevel="0" collapsed="false">
      <c r="A33" s="51" t="s">
        <v>729</v>
      </c>
      <c r="B33" s="52" t="s">
        <v>730</v>
      </c>
      <c r="C33" s="52" t="s">
        <v>535</v>
      </c>
      <c r="D33" s="52" t="s">
        <v>81</v>
      </c>
      <c r="E33" s="52" t="s">
        <v>731</v>
      </c>
      <c r="F33" s="62" t="s">
        <v>282</v>
      </c>
      <c r="G33" s="52" t="s">
        <v>651</v>
      </c>
      <c r="H33" s="54" t="s">
        <v>652</v>
      </c>
      <c r="I33" s="55" t="s">
        <v>727</v>
      </c>
      <c r="J33" s="56" t="s">
        <v>732</v>
      </c>
    </row>
    <row r="34" customFormat="false" ht="42" hidden="false" customHeight="true" outlineLevel="0" collapsed="false">
      <c r="A34" s="51" t="s">
        <v>733</v>
      </c>
      <c r="B34" s="57" t="s">
        <v>734</v>
      </c>
      <c r="C34" s="57" t="s">
        <v>535</v>
      </c>
      <c r="D34" s="57" t="s">
        <v>37</v>
      </c>
      <c r="E34" s="57" t="s">
        <v>735</v>
      </c>
      <c r="F34" s="62" t="s">
        <v>282</v>
      </c>
      <c r="G34" s="57" t="s">
        <v>694</v>
      </c>
      <c r="H34" s="54" t="s">
        <v>652</v>
      </c>
      <c r="I34" s="55" t="s">
        <v>727</v>
      </c>
      <c r="J34" s="58" t="s">
        <v>736</v>
      </c>
    </row>
    <row r="35" customFormat="false" ht="42" hidden="false" customHeight="true" outlineLevel="0" collapsed="false">
      <c r="A35" s="51" t="s">
        <v>737</v>
      </c>
      <c r="B35" s="52" t="s">
        <v>738</v>
      </c>
      <c r="C35" s="52" t="s">
        <v>535</v>
      </c>
      <c r="D35" s="52" t="s">
        <v>81</v>
      </c>
      <c r="E35" s="52" t="s">
        <v>739</v>
      </c>
      <c r="F35" s="62" t="s">
        <v>282</v>
      </c>
      <c r="G35" s="52" t="s">
        <v>740</v>
      </c>
      <c r="H35" s="54" t="s">
        <v>652</v>
      </c>
      <c r="I35" s="55" t="s">
        <v>727</v>
      </c>
      <c r="J35" s="56" t="s">
        <v>741</v>
      </c>
    </row>
    <row r="36" customFormat="false" ht="42" hidden="false" customHeight="true" outlineLevel="0" collapsed="false">
      <c r="A36" s="51" t="s">
        <v>742</v>
      </c>
      <c r="B36" s="57" t="s">
        <v>743</v>
      </c>
      <c r="C36" s="57" t="s">
        <v>744</v>
      </c>
      <c r="D36" s="57" t="s">
        <v>81</v>
      </c>
      <c r="E36" s="57" t="s">
        <v>745</v>
      </c>
      <c r="F36" s="62" t="s">
        <v>282</v>
      </c>
      <c r="G36" s="57" t="s">
        <v>656</v>
      </c>
      <c r="H36" s="54" t="s">
        <v>652</v>
      </c>
      <c r="I36" s="55" t="s">
        <v>727</v>
      </c>
      <c r="J36" s="58" t="s">
        <v>746</v>
      </c>
    </row>
    <row r="37" customFormat="false" ht="42" hidden="false" customHeight="true" outlineLevel="0" collapsed="false">
      <c r="A37" s="51" t="s">
        <v>747</v>
      </c>
      <c r="B37" s="52" t="s">
        <v>748</v>
      </c>
      <c r="C37" s="52" t="s">
        <v>749</v>
      </c>
      <c r="D37" s="52" t="s">
        <v>81</v>
      </c>
      <c r="E37" s="52" t="s">
        <v>750</v>
      </c>
      <c r="F37" s="62" t="s">
        <v>282</v>
      </c>
      <c r="G37" s="52" t="s">
        <v>656</v>
      </c>
      <c r="H37" s="54" t="s">
        <v>652</v>
      </c>
      <c r="I37" s="53" t="s">
        <v>657</v>
      </c>
      <c r="J37" s="56" t="s">
        <v>751</v>
      </c>
    </row>
    <row r="38" customFormat="false" ht="42" hidden="false" customHeight="true" outlineLevel="0" collapsed="false">
      <c r="A38" s="51" t="s">
        <v>42</v>
      </c>
      <c r="B38" s="57" t="s">
        <v>43</v>
      </c>
      <c r="C38" s="57" t="s">
        <v>44</v>
      </c>
      <c r="D38" s="57" t="s">
        <v>24</v>
      </c>
      <c r="E38" s="57" t="s">
        <v>752</v>
      </c>
      <c r="F38" s="59" t="s">
        <v>663</v>
      </c>
      <c r="G38" s="57" t="s">
        <v>651</v>
      </c>
      <c r="H38" s="54" t="s">
        <v>652</v>
      </c>
      <c r="I38" s="63" t="s">
        <v>753</v>
      </c>
      <c r="J38" s="58" t="s">
        <v>754</v>
      </c>
    </row>
    <row r="39" customFormat="false" ht="42" hidden="false" customHeight="true" outlineLevel="0" collapsed="false">
      <c r="A39" s="51" t="s">
        <v>187</v>
      </c>
      <c r="B39" s="52" t="s">
        <v>188</v>
      </c>
      <c r="C39" s="52" t="s">
        <v>44</v>
      </c>
      <c r="D39" s="52" t="s">
        <v>24</v>
      </c>
      <c r="E39" s="52" t="s">
        <v>752</v>
      </c>
      <c r="F39" s="59" t="s">
        <v>663</v>
      </c>
      <c r="G39" s="52" t="s">
        <v>673</v>
      </c>
      <c r="H39" s="54" t="s">
        <v>652</v>
      </c>
      <c r="I39" s="63" t="s">
        <v>753</v>
      </c>
      <c r="J39" s="56" t="s">
        <v>755</v>
      </c>
    </row>
    <row r="40" customFormat="false" ht="42" hidden="false" customHeight="true" outlineLevel="0" collapsed="false">
      <c r="A40" s="51" t="s">
        <v>756</v>
      </c>
      <c r="B40" s="57" t="s">
        <v>757</v>
      </c>
      <c r="C40" s="57" t="s">
        <v>44</v>
      </c>
      <c r="D40" s="57" t="s">
        <v>24</v>
      </c>
      <c r="E40" s="57" t="s">
        <v>752</v>
      </c>
      <c r="F40" s="59" t="s">
        <v>663</v>
      </c>
      <c r="G40" s="57" t="s">
        <v>758</v>
      </c>
      <c r="H40" s="54" t="s">
        <v>652</v>
      </c>
      <c r="I40" s="63" t="s">
        <v>753</v>
      </c>
      <c r="J40" s="58" t="s">
        <v>759</v>
      </c>
    </row>
    <row r="41" customFormat="false" ht="42" hidden="false" customHeight="true" outlineLevel="0" collapsed="false">
      <c r="A41" s="51" t="s">
        <v>219</v>
      </c>
      <c r="B41" s="52" t="s">
        <v>220</v>
      </c>
      <c r="C41" s="52" t="s">
        <v>80</v>
      </c>
      <c r="D41" s="52" t="s">
        <v>81</v>
      </c>
      <c r="E41" s="52" t="s">
        <v>649</v>
      </c>
      <c r="F41" s="53" t="s">
        <v>650</v>
      </c>
      <c r="G41" s="52" t="s">
        <v>760</v>
      </c>
      <c r="H41" s="54" t="s">
        <v>652</v>
      </c>
      <c r="I41" s="59" t="s">
        <v>761</v>
      </c>
      <c r="J41" s="56" t="s">
        <v>762</v>
      </c>
    </row>
    <row r="42" customFormat="false" ht="42" hidden="false" customHeight="true" outlineLevel="0" collapsed="false">
      <c r="A42" s="51" t="s">
        <v>763</v>
      </c>
      <c r="B42" s="57" t="s">
        <v>764</v>
      </c>
      <c r="C42" s="57" t="s">
        <v>36</v>
      </c>
      <c r="D42" s="57" t="s">
        <v>37</v>
      </c>
      <c r="E42" s="57" t="s">
        <v>684</v>
      </c>
      <c r="F42" s="53" t="s">
        <v>650</v>
      </c>
      <c r="G42" s="57" t="s">
        <v>765</v>
      </c>
      <c r="H42" s="64" t="s">
        <v>766</v>
      </c>
      <c r="I42" s="59" t="s">
        <v>761</v>
      </c>
      <c r="J42" s="58" t="s">
        <v>767</v>
      </c>
    </row>
    <row r="43" customFormat="false" ht="42" hidden="false" customHeight="true" outlineLevel="0" collapsed="false">
      <c r="A43" s="51" t="s">
        <v>148</v>
      </c>
      <c r="B43" s="52" t="s">
        <v>149</v>
      </c>
      <c r="C43" s="52" t="s">
        <v>123</v>
      </c>
      <c r="D43" s="52" t="s">
        <v>24</v>
      </c>
      <c r="E43" s="52" t="s">
        <v>705</v>
      </c>
      <c r="F43" s="53" t="s">
        <v>650</v>
      </c>
      <c r="G43" s="52" t="s">
        <v>768</v>
      </c>
      <c r="H43" s="54" t="s">
        <v>652</v>
      </c>
      <c r="I43" s="59" t="s">
        <v>761</v>
      </c>
      <c r="J43" s="56" t="s">
        <v>769</v>
      </c>
    </row>
    <row r="44" customFormat="false" ht="42" hidden="false" customHeight="true" outlineLevel="0" collapsed="false">
      <c r="A44" s="51" t="s">
        <v>770</v>
      </c>
      <c r="B44" s="57" t="s">
        <v>771</v>
      </c>
      <c r="C44" s="57" t="s">
        <v>772</v>
      </c>
      <c r="D44" s="57" t="s">
        <v>52</v>
      </c>
      <c r="E44" s="57" t="s">
        <v>773</v>
      </c>
      <c r="F44" s="53" t="s">
        <v>650</v>
      </c>
      <c r="G44" s="57" t="s">
        <v>774</v>
      </c>
      <c r="H44" s="54" t="s">
        <v>652</v>
      </c>
      <c r="I44" s="53" t="s">
        <v>657</v>
      </c>
      <c r="J44" s="58" t="s">
        <v>775</v>
      </c>
    </row>
    <row r="45" customFormat="false" ht="42" hidden="false" customHeight="true" outlineLevel="0" collapsed="false">
      <c r="A45" s="51" t="s">
        <v>776</v>
      </c>
      <c r="B45" s="52" t="s">
        <v>777</v>
      </c>
      <c r="C45" s="52" t="s">
        <v>772</v>
      </c>
      <c r="D45" s="52" t="s">
        <v>52</v>
      </c>
      <c r="E45" s="52" t="s">
        <v>773</v>
      </c>
      <c r="F45" s="53" t="s">
        <v>650</v>
      </c>
      <c r="G45" s="52" t="s">
        <v>661</v>
      </c>
      <c r="H45" s="54" t="s">
        <v>652</v>
      </c>
      <c r="I45" s="53" t="s">
        <v>657</v>
      </c>
      <c r="J45" s="56" t="s">
        <v>778</v>
      </c>
    </row>
    <row r="48" customFormat="false" ht="21.75" hidden="false" customHeight="true" outlineLevel="0" collapsed="false">
      <c r="A48" s="65" t="s">
        <v>779</v>
      </c>
      <c r="B48" s="65"/>
      <c r="C48" s="65"/>
      <c r="D48" s="65"/>
    </row>
    <row r="49" customFormat="false" ht="18" hidden="false" customHeight="true" outlineLevel="0" collapsed="false">
      <c r="A49" s="66" t="s">
        <v>780</v>
      </c>
      <c r="B49" s="67" t="n">
        <f aca="false">COUNTA(A3:A45)</f>
        <v>43</v>
      </c>
    </row>
    <row r="50" customFormat="false" ht="18" hidden="false" customHeight="true" outlineLevel="0" collapsed="false">
      <c r="A50" s="66" t="s">
        <v>781</v>
      </c>
      <c r="B50" s="67" t="n">
        <f aca="false">COUNTIF(H3:H45,"Active")</f>
        <v>42</v>
      </c>
    </row>
    <row r="51" customFormat="false" ht="18" hidden="false" customHeight="true" outlineLevel="0" collapsed="false">
      <c r="A51" s="66" t="s">
        <v>782</v>
      </c>
      <c r="B51" s="67" t="n">
        <f aca="false">COUNTIF(H3:H45,"Suspended")</f>
        <v>1</v>
      </c>
    </row>
    <row r="52" customFormat="false" ht="18" hidden="false" customHeight="true" outlineLevel="0" collapsed="false">
      <c r="A52" s="66" t="s">
        <v>783</v>
      </c>
      <c r="B52" s="67" t="n">
        <f aca="false">COUNTIF(F3:F45,"Yes")</f>
        <v>28</v>
      </c>
    </row>
    <row r="53" customFormat="false" ht="18" hidden="false" customHeight="true" outlineLevel="0" collapsed="false">
      <c r="A53" s="66" t="s">
        <v>784</v>
      </c>
      <c r="B53" s="67" t="n">
        <f aca="false">COUNTIF(F3:F45,"No")</f>
        <v>9</v>
      </c>
    </row>
    <row r="54" customFormat="false" ht="18" hidden="false" customHeight="true" outlineLevel="0" collapsed="false">
      <c r="A54" s="66" t="s">
        <v>785</v>
      </c>
      <c r="B54" s="67" t="n">
        <f aca="false">COUNTIF(I3:I45,"SHARED_ACCOUNT")+COUNTIF(I3:I45,"ORPHANED")+COUNTIF(I3:I45,"NO_MFA_ADMIN")</f>
        <v>7</v>
      </c>
    </row>
    <row r="55" customFormat="false" ht="18" hidden="false" customHeight="true" outlineLevel="0" collapsed="false">
      <c r="A55" s="66" t="s">
        <v>786</v>
      </c>
      <c r="B55" s="67" t="n">
        <f aca="false">COUNTIF(I3:I45,"STALE_CREDS")+COUNTIF(I3:I45,"ROLE_CREEP")+COUNTIF(I3:I45,"OVER_PRIVILEGED")</f>
        <v>9</v>
      </c>
    </row>
    <row r="56" customFormat="false" ht="18" hidden="false" customHeight="true" outlineLevel="0" collapsed="false">
      <c r="A56" s="66" t="s">
        <v>787</v>
      </c>
      <c r="B56" s="67" t="n">
        <f aca="false">COUNTIF(I3:I45,"MFA_EXEMPT")+COUNTIF(I3:I45,"INACTIVE")</f>
        <v>8</v>
      </c>
    </row>
    <row r="57" customFormat="false" ht="18" hidden="false" customHeight="true" outlineLevel="0" collapsed="false">
      <c r="A57" s="66" t="s">
        <v>788</v>
      </c>
      <c r="B57" s="67" t="n">
        <f aca="false">COUNTIF(I3:I45,"CLEAN")</f>
        <v>19</v>
      </c>
    </row>
    <row r="58" customFormat="false" ht="18" hidden="false" customHeight="true" outlineLevel="0" collapsed="false">
      <c r="A58" s="66" t="s">
        <v>789</v>
      </c>
      <c r="B58" s="67" t="n">
        <f aca="false">COUNTIF(I3:I45,"SHARED_ACCOUNT")</f>
        <v>3</v>
      </c>
    </row>
    <row r="59" customFormat="false" ht="18" hidden="false" customHeight="true" outlineLevel="0" collapsed="false">
      <c r="A59" s="66" t="s">
        <v>790</v>
      </c>
      <c r="B59" s="67" t="n">
        <f aca="false">COUNTIF(I3:I45,"ORPHANED")</f>
        <v>3</v>
      </c>
    </row>
    <row r="60" customFormat="false" ht="18" hidden="false" customHeight="true" outlineLevel="0" collapsed="false">
      <c r="A60" s="66" t="s">
        <v>791</v>
      </c>
      <c r="B60" s="67" t="n">
        <f aca="false">COUNTIF(I3:I45,"STALE_CREDS")</f>
        <v>5</v>
      </c>
    </row>
  </sheetData>
  <mergeCells count="2">
    <mergeCell ref="A1:J1"/>
    <mergeCell ref="A48:D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8"/>
    <col collapsed="false" customWidth="true" hidden="false" outlineLevel="0" max="5" min="4" style="0" width="14"/>
    <col collapsed="false" customWidth="true" hidden="false" outlineLevel="0" max="6" min="6" style="0" width="32"/>
  </cols>
  <sheetData>
    <row r="1" customFormat="false" ht="27.75" hidden="false" customHeight="true" outlineLevel="0" collapsed="false">
      <c r="A1" s="68" t="s">
        <v>792</v>
      </c>
      <c r="B1" s="68"/>
      <c r="C1" s="68"/>
      <c r="D1" s="68"/>
      <c r="E1" s="68"/>
      <c r="F1" s="68"/>
    </row>
    <row r="2" customFormat="false" ht="27.75" hidden="false" customHeight="true" outlineLevel="0" collapsed="false">
      <c r="A2" s="69" t="s">
        <v>793</v>
      </c>
      <c r="B2" s="69" t="s">
        <v>555</v>
      </c>
      <c r="C2" s="69" t="s">
        <v>794</v>
      </c>
      <c r="D2" s="69" t="s">
        <v>17</v>
      </c>
      <c r="E2" s="69" t="s">
        <v>795</v>
      </c>
      <c r="F2" s="69" t="s">
        <v>796</v>
      </c>
    </row>
    <row r="3" customFormat="false" ht="30" hidden="false" customHeight="true" outlineLevel="0" collapsed="false">
      <c r="A3" s="70" t="s">
        <v>797</v>
      </c>
      <c r="B3" s="71" t="n">
        <v>3</v>
      </c>
      <c r="C3" s="56" t="s">
        <v>798</v>
      </c>
      <c r="D3" s="59" t="s">
        <v>155</v>
      </c>
      <c r="E3" s="56" t="s">
        <v>799</v>
      </c>
      <c r="F3" s="56" t="s">
        <v>800</v>
      </c>
    </row>
    <row r="4" customFormat="false" ht="30" hidden="false" customHeight="true" outlineLevel="0" collapsed="false">
      <c r="A4" s="72" t="s">
        <v>801</v>
      </c>
      <c r="B4" s="73" t="n">
        <v>5</v>
      </c>
      <c r="C4" s="58" t="s">
        <v>802</v>
      </c>
      <c r="D4" s="59" t="s">
        <v>155</v>
      </c>
      <c r="E4" s="58" t="s">
        <v>799</v>
      </c>
      <c r="F4" s="58" t="s">
        <v>803</v>
      </c>
    </row>
    <row r="5" customFormat="false" ht="30" hidden="false" customHeight="true" outlineLevel="0" collapsed="false">
      <c r="A5" s="70" t="s">
        <v>804</v>
      </c>
      <c r="B5" s="71" t="n">
        <v>3</v>
      </c>
      <c r="C5" s="56" t="s">
        <v>805</v>
      </c>
      <c r="D5" s="59" t="s">
        <v>155</v>
      </c>
      <c r="E5" s="56" t="s">
        <v>799</v>
      </c>
      <c r="F5" s="56" t="s">
        <v>806</v>
      </c>
    </row>
    <row r="6" customFormat="false" ht="30" hidden="false" customHeight="true" outlineLevel="0" collapsed="false">
      <c r="A6" s="72" t="s">
        <v>807</v>
      </c>
      <c r="B6" s="73" t="n">
        <v>1</v>
      </c>
      <c r="C6" s="58" t="s">
        <v>808</v>
      </c>
      <c r="D6" s="59" t="s">
        <v>155</v>
      </c>
      <c r="E6" s="58" t="s">
        <v>799</v>
      </c>
      <c r="F6" s="58" t="s">
        <v>809</v>
      </c>
    </row>
    <row r="7" customFormat="false" ht="30" hidden="false" customHeight="true" outlineLevel="0" collapsed="false">
      <c r="A7" s="70" t="s">
        <v>810</v>
      </c>
      <c r="B7" s="71" t="n">
        <v>3</v>
      </c>
      <c r="C7" s="56" t="s">
        <v>590</v>
      </c>
      <c r="D7" s="55" t="s">
        <v>58</v>
      </c>
      <c r="E7" s="56" t="s">
        <v>811</v>
      </c>
      <c r="F7" s="56" t="s">
        <v>812</v>
      </c>
    </row>
    <row r="8" customFormat="false" ht="30" hidden="false" customHeight="true" outlineLevel="0" collapsed="false">
      <c r="A8" s="72" t="s">
        <v>813</v>
      </c>
      <c r="B8" s="73" t="n">
        <v>5</v>
      </c>
      <c r="C8" s="58" t="s">
        <v>814</v>
      </c>
      <c r="D8" s="55" t="s">
        <v>58</v>
      </c>
      <c r="E8" s="58" t="s">
        <v>811</v>
      </c>
      <c r="F8" s="58" t="s">
        <v>815</v>
      </c>
    </row>
    <row r="9" customFormat="false" ht="30" hidden="false" customHeight="true" outlineLevel="0" collapsed="false">
      <c r="A9" s="70" t="s">
        <v>816</v>
      </c>
      <c r="B9" s="71" t="n">
        <v>3</v>
      </c>
      <c r="C9" s="56" t="s">
        <v>817</v>
      </c>
      <c r="D9" s="55" t="s">
        <v>58</v>
      </c>
      <c r="E9" s="56" t="s">
        <v>811</v>
      </c>
      <c r="F9" s="56" t="s">
        <v>818</v>
      </c>
    </row>
    <row r="10" customFormat="false" ht="30" hidden="false" customHeight="true" outlineLevel="0" collapsed="false">
      <c r="A10" s="72" t="s">
        <v>819</v>
      </c>
      <c r="B10" s="73" t="n">
        <v>1</v>
      </c>
      <c r="C10" s="58" t="s">
        <v>820</v>
      </c>
      <c r="D10" s="55" t="s">
        <v>58</v>
      </c>
      <c r="E10" s="58" t="s">
        <v>811</v>
      </c>
      <c r="F10" s="58" t="s">
        <v>821</v>
      </c>
    </row>
    <row r="11" customFormat="false" ht="30" hidden="false" customHeight="true" outlineLevel="0" collapsed="false">
      <c r="A11" s="70" t="s">
        <v>822</v>
      </c>
      <c r="B11" s="71" t="n">
        <v>3</v>
      </c>
      <c r="C11" s="56" t="s">
        <v>798</v>
      </c>
      <c r="D11" s="55" t="s">
        <v>58</v>
      </c>
      <c r="E11" s="56" t="s">
        <v>811</v>
      </c>
      <c r="F11" s="56" t="s">
        <v>823</v>
      </c>
    </row>
    <row r="12" customFormat="false" ht="30" hidden="false" customHeight="true" outlineLevel="0" collapsed="false">
      <c r="A12" s="72" t="s">
        <v>824</v>
      </c>
      <c r="B12" s="73" t="n">
        <v>2</v>
      </c>
      <c r="C12" s="58" t="s">
        <v>825</v>
      </c>
      <c r="D12" s="74" t="s">
        <v>171</v>
      </c>
      <c r="E12" s="58" t="s">
        <v>826</v>
      </c>
      <c r="F12" s="58" t="s">
        <v>827</v>
      </c>
    </row>
    <row r="13" customFormat="false" ht="30" hidden="false" customHeight="true" outlineLevel="0" collapsed="false">
      <c r="A13" s="70" t="s">
        <v>828</v>
      </c>
      <c r="B13" s="71" t="s">
        <v>829</v>
      </c>
      <c r="C13" s="56" t="s">
        <v>830</v>
      </c>
      <c r="D13" s="55" t="s">
        <v>58</v>
      </c>
      <c r="E13" s="56" t="s">
        <v>811</v>
      </c>
      <c r="F13" s="56" t="s">
        <v>831</v>
      </c>
    </row>
    <row r="14" customFormat="false" ht="30" hidden="false" customHeight="true" outlineLevel="0" collapsed="false">
      <c r="A14" s="72" t="s">
        <v>832</v>
      </c>
      <c r="B14" s="73" t="n">
        <v>5</v>
      </c>
      <c r="C14" s="58" t="s">
        <v>833</v>
      </c>
      <c r="D14" s="74" t="s">
        <v>171</v>
      </c>
      <c r="E14" s="58" t="s">
        <v>826</v>
      </c>
      <c r="F14" s="58" t="s">
        <v>834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6" min="2" style="0" width="20"/>
  </cols>
  <sheetData>
    <row r="1" customFormat="false" ht="25.5" hidden="false" customHeight="true" outlineLevel="0" collapsed="false">
      <c r="A1" s="49" t="s">
        <v>835</v>
      </c>
      <c r="B1" s="49"/>
      <c r="C1" s="49"/>
      <c r="D1" s="49"/>
      <c r="E1" s="49"/>
      <c r="F1" s="49"/>
      <c r="G1" s="49"/>
    </row>
    <row r="2" customFormat="false" ht="25.5" hidden="false" customHeight="true" outlineLevel="0" collapsed="false">
      <c r="A2" s="75" t="s">
        <v>6</v>
      </c>
      <c r="B2" s="75" t="s">
        <v>38</v>
      </c>
      <c r="C2" s="75" t="s">
        <v>836</v>
      </c>
      <c r="D2" s="75" t="s">
        <v>54</v>
      </c>
      <c r="E2" s="75" t="s">
        <v>837</v>
      </c>
      <c r="F2" s="75" t="s">
        <v>838</v>
      </c>
    </row>
    <row r="3" customFormat="false" ht="21.75" hidden="false" customHeight="true" outlineLevel="0" collapsed="false">
      <c r="A3" s="76" t="s">
        <v>81</v>
      </c>
      <c r="B3" s="77" t="s">
        <v>839</v>
      </c>
      <c r="C3" s="77" t="s">
        <v>840</v>
      </c>
      <c r="D3" s="78" t="s">
        <v>841</v>
      </c>
      <c r="E3" s="79" t="s">
        <v>842</v>
      </c>
      <c r="F3" s="78" t="s">
        <v>843</v>
      </c>
    </row>
    <row r="4" customFormat="false" ht="21.75" hidden="false" customHeight="true" outlineLevel="0" collapsed="false">
      <c r="A4" s="80" t="s">
        <v>37</v>
      </c>
      <c r="B4" s="78" t="s">
        <v>844</v>
      </c>
      <c r="C4" s="81" t="s">
        <v>845</v>
      </c>
      <c r="D4" s="77" t="s">
        <v>839</v>
      </c>
      <c r="E4" s="79" t="s">
        <v>842</v>
      </c>
      <c r="F4" s="81" t="s">
        <v>845</v>
      </c>
    </row>
    <row r="5" customFormat="false" ht="21.75" hidden="false" customHeight="true" outlineLevel="0" collapsed="false">
      <c r="A5" s="76" t="s">
        <v>74</v>
      </c>
      <c r="B5" s="78" t="s">
        <v>846</v>
      </c>
      <c r="C5" s="81" t="s">
        <v>845</v>
      </c>
      <c r="D5" s="78" t="s">
        <v>846</v>
      </c>
      <c r="E5" s="79" t="s">
        <v>842</v>
      </c>
      <c r="F5" s="81" t="s">
        <v>845</v>
      </c>
    </row>
    <row r="6" customFormat="false" ht="21.75" hidden="false" customHeight="true" outlineLevel="0" collapsed="false">
      <c r="A6" s="80" t="s">
        <v>24</v>
      </c>
      <c r="B6" s="79" t="s">
        <v>842</v>
      </c>
      <c r="C6" s="81" t="s">
        <v>845</v>
      </c>
      <c r="D6" s="78" t="s">
        <v>841</v>
      </c>
      <c r="E6" s="81" t="s">
        <v>847</v>
      </c>
      <c r="F6" s="81" t="s">
        <v>845</v>
      </c>
    </row>
    <row r="7" customFormat="false" ht="21.75" hidden="false" customHeight="true" outlineLevel="0" collapsed="false">
      <c r="A7" s="76" t="s">
        <v>52</v>
      </c>
      <c r="B7" s="78" t="s">
        <v>841</v>
      </c>
      <c r="C7" s="78" t="s">
        <v>848</v>
      </c>
      <c r="D7" s="79" t="s">
        <v>842</v>
      </c>
      <c r="E7" s="79" t="s">
        <v>842</v>
      </c>
      <c r="F7" s="78" t="s">
        <v>848</v>
      </c>
    </row>
    <row r="8" customFormat="false" ht="21.75" hidden="false" customHeight="true" outlineLevel="0" collapsed="false">
      <c r="A8" s="80" t="s">
        <v>849</v>
      </c>
      <c r="B8" s="82" t="s">
        <v>850</v>
      </c>
      <c r="C8" s="82" t="s">
        <v>851</v>
      </c>
      <c r="D8" s="81" t="s">
        <v>845</v>
      </c>
      <c r="E8" s="81" t="s">
        <v>845</v>
      </c>
      <c r="F8" s="78" t="s">
        <v>852</v>
      </c>
    </row>
    <row r="11" customFormat="false" ht="18" hidden="false" customHeight="true" outlineLevel="0" collapsed="false">
      <c r="A11" s="83" t="s">
        <v>853</v>
      </c>
      <c r="B11" s="83"/>
    </row>
    <row r="12" customFormat="false" ht="15.75" hidden="false" customHeight="true" outlineLevel="0" collapsed="false">
      <c r="A12" s="84" t="s">
        <v>842</v>
      </c>
      <c r="B12" s="85" t="s">
        <v>854</v>
      </c>
    </row>
    <row r="13" customFormat="false" ht="15.75" hidden="false" customHeight="true" outlineLevel="0" collapsed="false">
      <c r="A13" s="86" t="s">
        <v>855</v>
      </c>
      <c r="B13" s="85" t="s">
        <v>856</v>
      </c>
    </row>
    <row r="14" customFormat="false" ht="15.75" hidden="false" customHeight="true" outlineLevel="0" collapsed="false">
      <c r="A14" s="87" t="s">
        <v>857</v>
      </c>
      <c r="B14" s="85" t="s">
        <v>858</v>
      </c>
    </row>
    <row r="15" customFormat="false" ht="15.75" hidden="false" customHeight="true" outlineLevel="0" collapsed="false">
      <c r="A15" s="88" t="s">
        <v>859</v>
      </c>
      <c r="B15" s="85" t="s">
        <v>860</v>
      </c>
    </row>
    <row r="16" customFormat="false" ht="15.75" hidden="false" customHeight="true" outlineLevel="0" collapsed="false">
      <c r="A16" s="89" t="s">
        <v>845</v>
      </c>
      <c r="B16" s="85" t="s">
        <v>861</v>
      </c>
    </row>
  </sheetData>
  <mergeCells count="2">
    <mergeCell ref="A1:G1"/>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40"/>
    <col collapsed="false" customWidth="true" hidden="false" outlineLevel="0" max="4" min="4" style="0" width="26"/>
    <col collapsed="false" customWidth="true" hidden="false" outlineLevel="0" max="5" min="5" style="0" width="24"/>
    <col collapsed="false" customWidth="true" hidden="false" outlineLevel="0" max="6" min="6" style="0" width="14"/>
    <col collapsed="false" customWidth="true" hidden="false" outlineLevel="0" max="7" min="7" style="0" width="36"/>
    <col collapsed="false" customWidth="true" hidden="false" outlineLevel="0" max="8" min="8" style="0" width="28"/>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2"/>
    <col collapsed="false" customWidth="true" hidden="false" outlineLevel="0" max="13" min="13" style="0" width="20"/>
    <col collapsed="false" customWidth="true" hidden="false" outlineLevel="0" max="14" min="14" style="0" width="14"/>
    <col collapsed="false" customWidth="true" hidden="false" outlineLevel="0" max="15" min="15" style="0" width="42"/>
    <col collapsed="false" customWidth="true" hidden="false" outlineLevel="0" max="16" min="16" style="0" width="22"/>
    <col collapsed="false" customWidth="true" hidden="false" outlineLevel="0" max="18" min="17" style="0" width="13"/>
  </cols>
  <sheetData>
    <row r="1" customFormat="false" ht="25.5" hidden="false" customHeight="true" outlineLevel="0" collapsed="false">
      <c r="A1" s="49" t="s">
        <v>862</v>
      </c>
      <c r="B1" s="49"/>
      <c r="C1" s="49"/>
      <c r="D1" s="49"/>
      <c r="E1" s="49"/>
      <c r="F1" s="49"/>
      <c r="G1" s="49"/>
      <c r="H1" s="49"/>
      <c r="I1" s="49"/>
      <c r="J1" s="49"/>
      <c r="K1" s="49"/>
      <c r="L1" s="49"/>
      <c r="M1" s="49"/>
      <c r="N1" s="49"/>
      <c r="O1" s="49"/>
      <c r="P1" s="49"/>
      <c r="Q1" s="49"/>
      <c r="R1" s="49"/>
    </row>
    <row r="2" customFormat="false" ht="18" hidden="false" customHeight="true" outlineLevel="0" collapsed="false">
      <c r="A2" s="90" t="s">
        <v>863</v>
      </c>
      <c r="B2" s="90"/>
      <c r="C2" s="90"/>
      <c r="D2" s="90"/>
      <c r="E2" s="90"/>
      <c r="F2" s="90"/>
      <c r="G2" s="90"/>
      <c r="H2" s="90"/>
      <c r="I2" s="90"/>
      <c r="J2" s="90"/>
      <c r="K2" s="90"/>
      <c r="L2" s="90"/>
      <c r="M2" s="90"/>
      <c r="N2" s="90"/>
      <c r="O2" s="90"/>
      <c r="P2" s="90"/>
      <c r="Q2" s="90"/>
      <c r="R2" s="90"/>
    </row>
    <row r="3" customFormat="false" ht="31.5" hidden="false" customHeight="true" outlineLevel="0" collapsed="false">
      <c r="A3" s="91" t="s">
        <v>864</v>
      </c>
      <c r="B3" s="91" t="s">
        <v>793</v>
      </c>
      <c r="C3" s="91" t="s">
        <v>865</v>
      </c>
      <c r="D3" s="91" t="s">
        <v>866</v>
      </c>
      <c r="E3" s="91" t="s">
        <v>867</v>
      </c>
      <c r="F3" s="91" t="s">
        <v>868</v>
      </c>
      <c r="G3" s="91" t="s">
        <v>869</v>
      </c>
      <c r="H3" s="91" t="s">
        <v>870</v>
      </c>
      <c r="I3" s="91" t="s">
        <v>871</v>
      </c>
      <c r="J3" s="91" t="s">
        <v>872</v>
      </c>
      <c r="K3" s="91" t="s">
        <v>16</v>
      </c>
      <c r="L3" s="91" t="s">
        <v>873</v>
      </c>
      <c r="M3" s="91" t="s">
        <v>874</v>
      </c>
      <c r="N3" s="91" t="s">
        <v>875</v>
      </c>
      <c r="O3" s="91" t="s">
        <v>876</v>
      </c>
      <c r="P3" s="91" t="s">
        <v>877</v>
      </c>
      <c r="Q3" s="91" t="s">
        <v>878</v>
      </c>
      <c r="R3" s="91" t="s">
        <v>879</v>
      </c>
    </row>
    <row r="4" customFormat="false" ht="60" hidden="false" customHeight="true" outlineLevel="0" collapsed="false">
      <c r="A4" s="92" t="s">
        <v>586</v>
      </c>
      <c r="B4" s="93" t="s">
        <v>880</v>
      </c>
      <c r="C4" s="94" t="s">
        <v>881</v>
      </c>
      <c r="D4" s="94" t="s">
        <v>882</v>
      </c>
      <c r="E4" s="94" t="s">
        <v>54</v>
      </c>
      <c r="F4" s="95" t="s">
        <v>883</v>
      </c>
      <c r="G4" s="94" t="s">
        <v>884</v>
      </c>
      <c r="H4" s="94" t="s">
        <v>885</v>
      </c>
      <c r="I4" s="96" t="s">
        <v>886</v>
      </c>
      <c r="J4" s="96" t="s">
        <v>886</v>
      </c>
      <c r="K4" s="97" t="n">
        <v>9</v>
      </c>
      <c r="L4" s="96" t="s">
        <v>155</v>
      </c>
      <c r="M4" s="94" t="s">
        <v>887</v>
      </c>
      <c r="N4" s="96" t="s">
        <v>888</v>
      </c>
      <c r="O4" s="94" t="s">
        <v>889</v>
      </c>
      <c r="P4" s="94" t="s">
        <v>890</v>
      </c>
      <c r="Q4" s="98" t="s">
        <v>891</v>
      </c>
      <c r="R4" s="92" t="s">
        <v>892</v>
      </c>
    </row>
    <row r="5" customFormat="false" ht="60" hidden="false" customHeight="true" outlineLevel="0" collapsed="false">
      <c r="A5" s="92" t="s">
        <v>599</v>
      </c>
      <c r="B5" s="99" t="s">
        <v>893</v>
      </c>
      <c r="C5" s="100" t="s">
        <v>894</v>
      </c>
      <c r="D5" s="100" t="s">
        <v>895</v>
      </c>
      <c r="E5" s="100" t="s">
        <v>896</v>
      </c>
      <c r="F5" s="95" t="s">
        <v>883</v>
      </c>
      <c r="G5" s="100" t="s">
        <v>897</v>
      </c>
      <c r="H5" s="100" t="s">
        <v>898</v>
      </c>
      <c r="I5" s="96" t="s">
        <v>886</v>
      </c>
      <c r="J5" s="96" t="s">
        <v>886</v>
      </c>
      <c r="K5" s="97" t="n">
        <v>9</v>
      </c>
      <c r="L5" s="96" t="s">
        <v>155</v>
      </c>
      <c r="M5" s="100" t="s">
        <v>887</v>
      </c>
      <c r="N5" s="96" t="s">
        <v>888</v>
      </c>
      <c r="O5" s="100" t="s">
        <v>899</v>
      </c>
      <c r="P5" s="100" t="s">
        <v>803</v>
      </c>
      <c r="Q5" s="98" t="s">
        <v>891</v>
      </c>
      <c r="R5" s="92" t="s">
        <v>900</v>
      </c>
    </row>
    <row r="6" customFormat="false" ht="60" hidden="false" customHeight="true" outlineLevel="0" collapsed="false">
      <c r="A6" s="92" t="s">
        <v>901</v>
      </c>
      <c r="B6" s="93" t="s">
        <v>902</v>
      </c>
      <c r="C6" s="94" t="s">
        <v>903</v>
      </c>
      <c r="D6" s="94" t="s">
        <v>904</v>
      </c>
      <c r="E6" s="94" t="s">
        <v>905</v>
      </c>
      <c r="F6" s="95" t="s">
        <v>883</v>
      </c>
      <c r="G6" s="94" t="s">
        <v>906</v>
      </c>
      <c r="H6" s="94" t="s">
        <v>907</v>
      </c>
      <c r="I6" s="96" t="s">
        <v>886</v>
      </c>
      <c r="J6" s="96" t="s">
        <v>886</v>
      </c>
      <c r="K6" s="97" t="n">
        <v>9</v>
      </c>
      <c r="L6" s="96" t="s">
        <v>155</v>
      </c>
      <c r="M6" s="94" t="s">
        <v>887</v>
      </c>
      <c r="N6" s="96" t="s">
        <v>888</v>
      </c>
      <c r="O6" s="94" t="s">
        <v>908</v>
      </c>
      <c r="P6" s="94" t="s">
        <v>909</v>
      </c>
      <c r="Q6" s="98" t="s">
        <v>891</v>
      </c>
      <c r="R6" s="92" t="s">
        <v>910</v>
      </c>
    </row>
    <row r="7" customFormat="false" ht="60" hidden="false" customHeight="true" outlineLevel="0" collapsed="false">
      <c r="A7" s="92" t="s">
        <v>574</v>
      </c>
      <c r="B7" s="99" t="s">
        <v>911</v>
      </c>
      <c r="C7" s="100" t="s">
        <v>912</v>
      </c>
      <c r="D7" s="100" t="s">
        <v>913</v>
      </c>
      <c r="E7" s="100" t="s">
        <v>914</v>
      </c>
      <c r="F7" s="95" t="s">
        <v>883</v>
      </c>
      <c r="G7" s="100" t="s">
        <v>915</v>
      </c>
      <c r="H7" s="100" t="s">
        <v>916</v>
      </c>
      <c r="I7" s="96" t="s">
        <v>886</v>
      </c>
      <c r="J7" s="96" t="s">
        <v>886</v>
      </c>
      <c r="K7" s="97" t="n">
        <v>9</v>
      </c>
      <c r="L7" s="96" t="s">
        <v>155</v>
      </c>
      <c r="M7" s="100" t="s">
        <v>887</v>
      </c>
      <c r="N7" s="96" t="s">
        <v>888</v>
      </c>
      <c r="O7" s="100" t="s">
        <v>917</v>
      </c>
      <c r="P7" s="100" t="s">
        <v>806</v>
      </c>
      <c r="Q7" s="98" t="s">
        <v>891</v>
      </c>
      <c r="R7" s="92" t="s">
        <v>918</v>
      </c>
    </row>
    <row r="8" customFormat="false" ht="60" hidden="false" customHeight="true" outlineLevel="0" collapsed="false">
      <c r="A8" s="92" t="s">
        <v>919</v>
      </c>
      <c r="B8" s="93" t="s">
        <v>920</v>
      </c>
      <c r="C8" s="94" t="s">
        <v>921</v>
      </c>
      <c r="D8" s="94" t="s">
        <v>922</v>
      </c>
      <c r="E8" s="94" t="s">
        <v>923</v>
      </c>
      <c r="F8" s="101" t="s">
        <v>924</v>
      </c>
      <c r="G8" s="94" t="s">
        <v>925</v>
      </c>
      <c r="H8" s="94" t="s">
        <v>926</v>
      </c>
      <c r="I8" s="98" t="s">
        <v>927</v>
      </c>
      <c r="J8" s="96" t="s">
        <v>886</v>
      </c>
      <c r="K8" s="97" t="n">
        <v>6</v>
      </c>
      <c r="L8" s="96" t="s">
        <v>155</v>
      </c>
      <c r="M8" s="94" t="s">
        <v>887</v>
      </c>
      <c r="N8" s="98" t="s">
        <v>928</v>
      </c>
      <c r="O8" s="94" t="s">
        <v>929</v>
      </c>
      <c r="P8" s="94" t="s">
        <v>930</v>
      </c>
      <c r="Q8" s="98" t="s">
        <v>891</v>
      </c>
      <c r="R8" s="92" t="s">
        <v>918</v>
      </c>
    </row>
    <row r="9" customFormat="false" ht="60" hidden="false" customHeight="true" outlineLevel="0" collapsed="false">
      <c r="A9" s="92" t="s">
        <v>931</v>
      </c>
      <c r="B9" s="99" t="s">
        <v>932</v>
      </c>
      <c r="C9" s="100" t="s">
        <v>933</v>
      </c>
      <c r="D9" s="100" t="s">
        <v>934</v>
      </c>
      <c r="E9" s="100" t="s">
        <v>935</v>
      </c>
      <c r="F9" s="101" t="s">
        <v>924</v>
      </c>
      <c r="G9" s="100" t="s">
        <v>936</v>
      </c>
      <c r="H9" s="100" t="s">
        <v>937</v>
      </c>
      <c r="I9" s="96" t="s">
        <v>886</v>
      </c>
      <c r="J9" s="96" t="s">
        <v>886</v>
      </c>
      <c r="K9" s="97" t="n">
        <v>9</v>
      </c>
      <c r="L9" s="96" t="s">
        <v>155</v>
      </c>
      <c r="M9" s="100" t="s">
        <v>887</v>
      </c>
      <c r="N9" s="96" t="s">
        <v>888</v>
      </c>
      <c r="O9" s="100" t="s">
        <v>938</v>
      </c>
      <c r="P9" s="100" t="s">
        <v>939</v>
      </c>
      <c r="Q9" s="98" t="s">
        <v>891</v>
      </c>
      <c r="R9" s="92" t="s">
        <v>918</v>
      </c>
    </row>
    <row r="10" customFormat="false" ht="60" hidden="false" customHeight="true" outlineLevel="0" collapsed="false">
      <c r="A10" s="92" t="s">
        <v>577</v>
      </c>
      <c r="B10" s="93" t="s">
        <v>940</v>
      </c>
      <c r="C10" s="94" t="s">
        <v>941</v>
      </c>
      <c r="D10" s="94" t="s">
        <v>942</v>
      </c>
      <c r="E10" s="94" t="s">
        <v>943</v>
      </c>
      <c r="F10" s="95" t="s">
        <v>883</v>
      </c>
      <c r="G10" s="94" t="s">
        <v>944</v>
      </c>
      <c r="H10" s="94" t="s">
        <v>945</v>
      </c>
      <c r="I10" s="96" t="s">
        <v>886</v>
      </c>
      <c r="J10" s="96" t="s">
        <v>886</v>
      </c>
      <c r="K10" s="97" t="n">
        <v>9</v>
      </c>
      <c r="L10" s="96" t="s">
        <v>155</v>
      </c>
      <c r="M10" s="94" t="s">
        <v>887</v>
      </c>
      <c r="N10" s="96" t="s">
        <v>888</v>
      </c>
      <c r="O10" s="94" t="s">
        <v>946</v>
      </c>
      <c r="P10" s="94" t="s">
        <v>809</v>
      </c>
      <c r="Q10" s="98" t="s">
        <v>891</v>
      </c>
      <c r="R10" s="92" t="s">
        <v>947</v>
      </c>
    </row>
    <row r="11" customFormat="false" ht="60" hidden="false" customHeight="true" outlineLevel="0" collapsed="false">
      <c r="A11" s="92" t="s">
        <v>589</v>
      </c>
      <c r="B11" s="99" t="s">
        <v>948</v>
      </c>
      <c r="C11" s="100" t="s">
        <v>949</v>
      </c>
      <c r="D11" s="100" t="s">
        <v>950</v>
      </c>
      <c r="E11" s="100" t="s">
        <v>951</v>
      </c>
      <c r="F11" s="102" t="s">
        <v>952</v>
      </c>
      <c r="G11" s="100" t="s">
        <v>953</v>
      </c>
      <c r="H11" s="100" t="s">
        <v>954</v>
      </c>
      <c r="I11" s="98" t="s">
        <v>927</v>
      </c>
      <c r="J11" s="96" t="s">
        <v>886</v>
      </c>
      <c r="K11" s="97" t="n">
        <v>6</v>
      </c>
      <c r="L11" s="96" t="s">
        <v>155</v>
      </c>
      <c r="M11" s="100" t="s">
        <v>887</v>
      </c>
      <c r="N11" s="98" t="s">
        <v>928</v>
      </c>
      <c r="O11" s="100" t="s">
        <v>955</v>
      </c>
      <c r="P11" s="100" t="s">
        <v>956</v>
      </c>
      <c r="Q11" s="98" t="s">
        <v>891</v>
      </c>
      <c r="R11" s="92" t="s">
        <v>957</v>
      </c>
    </row>
    <row r="12" customFormat="false" ht="60" hidden="false" customHeight="true" outlineLevel="0" collapsed="false">
      <c r="A12" s="92" t="s">
        <v>958</v>
      </c>
      <c r="B12" s="93" t="s">
        <v>959</v>
      </c>
      <c r="C12" s="94" t="s">
        <v>960</v>
      </c>
      <c r="D12" s="94" t="s">
        <v>961</v>
      </c>
      <c r="E12" s="94" t="s">
        <v>54</v>
      </c>
      <c r="F12" s="102" t="s">
        <v>962</v>
      </c>
      <c r="G12" s="94" t="s">
        <v>963</v>
      </c>
      <c r="H12" s="94" t="s">
        <v>964</v>
      </c>
      <c r="I12" s="98" t="s">
        <v>927</v>
      </c>
      <c r="J12" s="98" t="s">
        <v>927</v>
      </c>
      <c r="K12" s="103" t="n">
        <v>4</v>
      </c>
      <c r="L12" s="98" t="s">
        <v>58</v>
      </c>
      <c r="M12" s="94" t="s">
        <v>887</v>
      </c>
      <c r="N12" s="98" t="s">
        <v>928</v>
      </c>
      <c r="O12" s="94" t="s">
        <v>965</v>
      </c>
      <c r="P12" s="94" t="s">
        <v>821</v>
      </c>
      <c r="Q12" s="98" t="s">
        <v>891</v>
      </c>
      <c r="R12" s="92" t="s">
        <v>957</v>
      </c>
    </row>
    <row r="13" customFormat="false" ht="60" hidden="false" customHeight="true" outlineLevel="0" collapsed="false">
      <c r="A13" s="92" t="s">
        <v>570</v>
      </c>
      <c r="B13" s="99" t="s">
        <v>966</v>
      </c>
      <c r="C13" s="100" t="s">
        <v>967</v>
      </c>
      <c r="D13" s="100" t="s">
        <v>968</v>
      </c>
      <c r="E13" s="100" t="s">
        <v>969</v>
      </c>
      <c r="F13" s="101" t="s">
        <v>924</v>
      </c>
      <c r="G13" s="100" t="s">
        <v>970</v>
      </c>
      <c r="H13" s="100" t="s">
        <v>971</v>
      </c>
      <c r="I13" s="96" t="s">
        <v>886</v>
      </c>
      <c r="J13" s="98" t="s">
        <v>927</v>
      </c>
      <c r="K13" s="97" t="n">
        <v>6</v>
      </c>
      <c r="L13" s="96" t="s">
        <v>155</v>
      </c>
      <c r="M13" s="100" t="s">
        <v>887</v>
      </c>
      <c r="N13" s="98" t="s">
        <v>928</v>
      </c>
      <c r="O13" s="100" t="s">
        <v>972</v>
      </c>
      <c r="P13" s="100" t="s">
        <v>973</v>
      </c>
      <c r="Q13" s="98" t="s">
        <v>891</v>
      </c>
      <c r="R13" s="92" t="s">
        <v>947</v>
      </c>
    </row>
    <row r="14" customFormat="false" ht="60" hidden="false" customHeight="true" outlineLevel="0" collapsed="false">
      <c r="A14" s="92" t="s">
        <v>974</v>
      </c>
      <c r="B14" s="93" t="s">
        <v>975</v>
      </c>
      <c r="C14" s="94" t="s">
        <v>976</v>
      </c>
      <c r="D14" s="94" t="s">
        <v>977</v>
      </c>
      <c r="E14" s="94" t="s">
        <v>978</v>
      </c>
      <c r="F14" s="101" t="s">
        <v>979</v>
      </c>
      <c r="G14" s="94" t="s">
        <v>980</v>
      </c>
      <c r="H14" s="94" t="s">
        <v>981</v>
      </c>
      <c r="I14" s="98" t="s">
        <v>927</v>
      </c>
      <c r="J14" s="98" t="s">
        <v>927</v>
      </c>
      <c r="K14" s="103" t="n">
        <v>4</v>
      </c>
      <c r="L14" s="98" t="s">
        <v>58</v>
      </c>
      <c r="M14" s="94" t="s">
        <v>887</v>
      </c>
      <c r="N14" s="92" t="s">
        <v>982</v>
      </c>
      <c r="O14" s="94" t="s">
        <v>983</v>
      </c>
      <c r="P14" s="94" t="s">
        <v>806</v>
      </c>
      <c r="Q14" s="98" t="s">
        <v>891</v>
      </c>
      <c r="R14" s="92" t="s">
        <v>984</v>
      </c>
    </row>
    <row r="15" customFormat="false" ht="60" hidden="false" customHeight="true" outlineLevel="0" collapsed="false">
      <c r="A15" s="92" t="s">
        <v>985</v>
      </c>
      <c r="B15" s="99" t="s">
        <v>986</v>
      </c>
      <c r="C15" s="100" t="s">
        <v>987</v>
      </c>
      <c r="D15" s="100" t="s">
        <v>988</v>
      </c>
      <c r="E15" s="100" t="s">
        <v>989</v>
      </c>
      <c r="F15" s="95" t="s">
        <v>883</v>
      </c>
      <c r="G15" s="100" t="s">
        <v>990</v>
      </c>
      <c r="H15" s="100" t="s">
        <v>991</v>
      </c>
      <c r="I15" s="98" t="s">
        <v>927</v>
      </c>
      <c r="J15" s="98" t="s">
        <v>927</v>
      </c>
      <c r="K15" s="103" t="n">
        <v>4</v>
      </c>
      <c r="L15" s="98" t="s">
        <v>58</v>
      </c>
      <c r="M15" s="100" t="s">
        <v>887</v>
      </c>
      <c r="N15" s="98" t="s">
        <v>928</v>
      </c>
      <c r="O15" s="100" t="s">
        <v>992</v>
      </c>
      <c r="P15" s="100" t="s">
        <v>803</v>
      </c>
      <c r="Q15" s="98" t="s">
        <v>891</v>
      </c>
      <c r="R15" s="92" t="s">
        <v>900</v>
      </c>
    </row>
    <row r="16" customFormat="false" ht="60" hidden="false" customHeight="true" outlineLevel="0" collapsed="false">
      <c r="A16" s="92" t="s">
        <v>993</v>
      </c>
      <c r="B16" s="93" t="s">
        <v>994</v>
      </c>
      <c r="C16" s="94" t="s">
        <v>995</v>
      </c>
      <c r="D16" s="94" t="s">
        <v>996</v>
      </c>
      <c r="E16" s="94" t="s">
        <v>54</v>
      </c>
      <c r="F16" s="102" t="s">
        <v>962</v>
      </c>
      <c r="G16" s="94" t="s">
        <v>997</v>
      </c>
      <c r="H16" s="94" t="s">
        <v>998</v>
      </c>
      <c r="I16" s="98" t="s">
        <v>927</v>
      </c>
      <c r="J16" s="96" t="s">
        <v>886</v>
      </c>
      <c r="K16" s="97" t="n">
        <v>6</v>
      </c>
      <c r="L16" s="96" t="s">
        <v>155</v>
      </c>
      <c r="M16" s="94" t="s">
        <v>887</v>
      </c>
      <c r="N16" s="98" t="s">
        <v>928</v>
      </c>
      <c r="O16" s="94" t="s">
        <v>999</v>
      </c>
      <c r="P16" s="94" t="s">
        <v>823</v>
      </c>
      <c r="Q16" s="98" t="s">
        <v>891</v>
      </c>
      <c r="R16" s="92" t="s">
        <v>1000</v>
      </c>
    </row>
    <row r="17" customFormat="false" ht="60" hidden="false" customHeight="true" outlineLevel="0" collapsed="false">
      <c r="A17" s="92" t="s">
        <v>1001</v>
      </c>
      <c r="B17" s="99" t="s">
        <v>1002</v>
      </c>
      <c r="C17" s="100" t="s">
        <v>1003</v>
      </c>
      <c r="D17" s="100" t="s">
        <v>1004</v>
      </c>
      <c r="E17" s="100" t="s">
        <v>1005</v>
      </c>
      <c r="F17" s="101" t="s">
        <v>924</v>
      </c>
      <c r="G17" s="100" t="s">
        <v>1006</v>
      </c>
      <c r="H17" s="100" t="s">
        <v>1007</v>
      </c>
      <c r="I17" s="98" t="s">
        <v>927</v>
      </c>
      <c r="J17" s="96" t="s">
        <v>886</v>
      </c>
      <c r="K17" s="97" t="n">
        <v>6</v>
      </c>
      <c r="L17" s="96" t="s">
        <v>155</v>
      </c>
      <c r="M17" s="100" t="s">
        <v>887</v>
      </c>
      <c r="N17" s="98" t="s">
        <v>928</v>
      </c>
      <c r="O17" s="100" t="s">
        <v>1008</v>
      </c>
      <c r="P17" s="100" t="s">
        <v>1009</v>
      </c>
      <c r="Q17" s="98" t="s">
        <v>891</v>
      </c>
      <c r="R17" s="92" t="s">
        <v>984</v>
      </c>
    </row>
    <row r="18" customFormat="false" ht="60" hidden="false" customHeight="true" outlineLevel="0" collapsed="false">
      <c r="A18" s="92" t="s">
        <v>594</v>
      </c>
      <c r="B18" s="93" t="s">
        <v>1010</v>
      </c>
      <c r="C18" s="94" t="s">
        <v>1011</v>
      </c>
      <c r="D18" s="94" t="s">
        <v>1012</v>
      </c>
      <c r="E18" s="94" t="s">
        <v>1013</v>
      </c>
      <c r="F18" s="95" t="s">
        <v>1014</v>
      </c>
      <c r="G18" s="94" t="s">
        <v>1015</v>
      </c>
      <c r="H18" s="94" t="s">
        <v>1016</v>
      </c>
      <c r="I18" s="104" t="s">
        <v>1017</v>
      </c>
      <c r="J18" s="96" t="s">
        <v>886</v>
      </c>
      <c r="K18" s="105" t="n">
        <v>3</v>
      </c>
      <c r="L18" s="92" t="s">
        <v>171</v>
      </c>
      <c r="M18" s="94" t="s">
        <v>887</v>
      </c>
      <c r="N18" s="92" t="s">
        <v>982</v>
      </c>
      <c r="O18" s="94" t="s">
        <v>1018</v>
      </c>
      <c r="P18" s="94" t="s">
        <v>1019</v>
      </c>
      <c r="Q18" s="98" t="s">
        <v>891</v>
      </c>
      <c r="R18" s="92" t="s">
        <v>918</v>
      </c>
    </row>
    <row r="21" customFormat="false" ht="21.75" hidden="false" customHeight="true" outlineLevel="0" collapsed="false">
      <c r="A21" s="106" t="s">
        <v>1020</v>
      </c>
      <c r="B21" s="106"/>
      <c r="C21" s="106"/>
      <c r="D21" s="106"/>
      <c r="E21" s="106"/>
      <c r="F21" s="106"/>
      <c r="G21" s="107" t="s">
        <v>1021</v>
      </c>
    </row>
    <row r="22" customFormat="false" ht="18" hidden="false" customHeight="true" outlineLevel="0" collapsed="false">
      <c r="A22" s="108" t="s">
        <v>1022</v>
      </c>
      <c r="B22" s="109" t="n">
        <v>11</v>
      </c>
      <c r="G22" s="110" t="s">
        <v>1023</v>
      </c>
      <c r="H22" s="88" t="n">
        <v>12</v>
      </c>
    </row>
    <row r="23" customFormat="false" ht="18" hidden="false" customHeight="true" outlineLevel="0" collapsed="false">
      <c r="A23" s="111" t="s">
        <v>1024</v>
      </c>
      <c r="B23" s="112" t="n">
        <v>3</v>
      </c>
      <c r="G23" s="111" t="s">
        <v>1025</v>
      </c>
      <c r="H23" s="112" t="n">
        <v>10</v>
      </c>
    </row>
    <row r="24" customFormat="false" ht="18" hidden="false" customHeight="true" outlineLevel="0" collapsed="false">
      <c r="A24" s="113" t="s">
        <v>1026</v>
      </c>
      <c r="B24" s="87" t="n">
        <v>1</v>
      </c>
      <c r="G24" s="113" t="s">
        <v>1027</v>
      </c>
      <c r="H24" s="87" t="n">
        <v>3</v>
      </c>
    </row>
    <row r="25" customFormat="false" ht="18" hidden="false" customHeight="true" outlineLevel="0" collapsed="false">
      <c r="A25" s="114" t="s">
        <v>1028</v>
      </c>
      <c r="B25" s="115" t="n">
        <v>0</v>
      </c>
    </row>
    <row r="26" customFormat="false" ht="18" hidden="false" customHeight="true" outlineLevel="0" collapsed="false">
      <c r="A26" s="116" t="s">
        <v>1029</v>
      </c>
      <c r="B26" s="117" t="n">
        <v>15</v>
      </c>
    </row>
    <row r="27" customFormat="false" ht="18" hidden="false" customHeight="true" outlineLevel="0" collapsed="false">
      <c r="A27" s="111" t="s">
        <v>1030</v>
      </c>
      <c r="B27" s="112" t="n">
        <v>15</v>
      </c>
    </row>
  </sheetData>
  <mergeCells count="3">
    <mergeCell ref="A1:R1"/>
    <mergeCell ref="A2:R2"/>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2026-04-28T10:40:35Z</dcterms:created>
  <dc:creator>openpyxl</dc:creator>
  <dc:description/>
  <dc:language>en-US</dc:language>
  <cp:lastModifiedBy/>
  <dcterms:modified xsi:type="dcterms:W3CDTF">2026-04-29T09:46:00Z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